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Company Tracker" sheetId="2" state="visible" r:id="rId2"/>
    <sheet name="Outreach Tracker" sheetId="3" state="visible" r:id="rId3"/>
    <sheet name="Email Template" sheetId="4" state="visible" r:id="rId4"/>
  </sheets>
  <definedNames/>
  <calcPr calcId="124519" fullCalcOnLoad="1"/>
</workbook>
</file>

<file path=xl/styles.xml><?xml version="1.0" encoding="utf-8"?>
<styleSheet xmlns="http://schemas.openxmlformats.org/spreadsheetml/2006/main">
  <numFmts count="2">
    <numFmt numFmtId="164" formatCode="0.0%"/>
    <numFmt numFmtId="165" formatCode="yyyy-mm-dd"/>
  </numFmts>
  <fonts count="6">
    <font>
      <name val="Calibri"/>
      <family val="2"/>
      <color theme="1"/>
      <sz val="11"/>
      <scheme val="minor"/>
    </font>
    <font>
      <name val="Arial"/>
      <b val="1"/>
      <sz val="11"/>
    </font>
    <font>
      <name val="Arial"/>
      <sz val="10"/>
    </font>
    <font>
      <name val="Arial"/>
      <b val="1"/>
      <color rgb="00FFFFFF"/>
      <sz val="11"/>
    </font>
    <font>
      <name val="Arial"/>
      <color rgb="000563C1"/>
      <sz val="10"/>
      <u val="single"/>
    </font>
    <font>
      <name val="Consolas"/>
      <sz val="10"/>
    </font>
  </fonts>
  <fills count="10">
    <fill>
      <patternFill/>
    </fill>
    <fill>
      <patternFill patternType="gray125"/>
    </fill>
    <fill>
      <patternFill patternType="solid">
        <fgColor rgb="001F2937"/>
      </patternFill>
    </fill>
    <fill>
      <patternFill patternType="solid">
        <fgColor rgb="00FFF9C4"/>
      </patternFill>
    </fill>
    <fill>
      <patternFill patternType="solid">
        <fgColor rgb="00DBEAFE"/>
      </patternFill>
    </fill>
    <fill>
      <patternFill patternType="solid">
        <fgColor rgb="00DCFCE7"/>
      </patternFill>
    </fill>
    <fill>
      <patternFill patternType="solid">
        <fgColor rgb="00FCE7F3"/>
      </patternFill>
    </fill>
    <fill>
      <patternFill patternType="solid">
        <fgColor rgb="00E0E7FF"/>
      </patternFill>
    </fill>
    <fill>
      <patternFill patternType="solid">
        <fgColor rgb="00FEF08A"/>
      </patternFill>
    </fill>
    <fill>
      <patternFill patternType="solid">
        <fgColor rgb="00F3F4F6"/>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31">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2" fillId="3" borderId="1" applyAlignment="1" pivotButton="0" quotePrefix="0" xfId="0">
      <alignment vertical="top"/>
    </xf>
    <xf numFmtId="0" fontId="2" fillId="3" borderId="1" applyAlignment="1" pivotButton="0" quotePrefix="0" xfId="0">
      <alignment vertical="top" wrapText="1"/>
    </xf>
    <xf numFmtId="0" fontId="4" fillId="3" borderId="1" pivotButton="0" quotePrefix="0" xfId="0"/>
    <xf numFmtId="0" fontId="2" fillId="4" borderId="1" applyAlignment="1" pivotButton="0" quotePrefix="0" xfId="0">
      <alignment vertical="top"/>
    </xf>
    <xf numFmtId="0" fontId="2" fillId="4" borderId="1" applyAlignment="1" pivotButton="0" quotePrefix="0" xfId="0">
      <alignment vertical="top" wrapText="1"/>
    </xf>
    <xf numFmtId="0" fontId="4" fillId="4" borderId="1" pivotButton="0" quotePrefix="0" xfId="0"/>
    <xf numFmtId="0" fontId="2" fillId="5" borderId="1" applyAlignment="1" pivotButton="0" quotePrefix="0" xfId="0">
      <alignment vertical="top"/>
    </xf>
    <xf numFmtId="0" fontId="2" fillId="5" borderId="1" applyAlignment="1" pivotButton="0" quotePrefix="0" xfId="0">
      <alignment vertical="top" wrapText="1"/>
    </xf>
    <xf numFmtId="0" fontId="4" fillId="5" borderId="1" pivotButton="0" quotePrefix="0" xfId="0"/>
    <xf numFmtId="0" fontId="2" fillId="6" borderId="1" applyAlignment="1" pivotButton="0" quotePrefix="0" xfId="0">
      <alignment vertical="top"/>
    </xf>
    <xf numFmtId="0" fontId="2" fillId="6" borderId="1" applyAlignment="1" pivotButton="0" quotePrefix="0" xfId="0">
      <alignment vertical="top" wrapText="1"/>
    </xf>
    <xf numFmtId="0" fontId="4" fillId="6" borderId="1" pivotButton="0" quotePrefix="0" xfId="0"/>
    <xf numFmtId="0" fontId="2" fillId="7" borderId="1" applyAlignment="1" pivotButton="0" quotePrefix="0" xfId="0">
      <alignment vertical="top"/>
    </xf>
    <xf numFmtId="0" fontId="2" fillId="7" borderId="1" applyAlignment="1" pivotButton="0" quotePrefix="0" xfId="0">
      <alignment vertical="top" wrapText="1"/>
    </xf>
    <xf numFmtId="0" fontId="4" fillId="7" borderId="1" pivotButton="0" quotePrefix="0" xfId="0"/>
    <xf numFmtId="164" fontId="2" fillId="0" borderId="0" pivotButton="0" quotePrefix="0" xfId="0"/>
    <xf numFmtId="0" fontId="2" fillId="8" borderId="1" pivotButton="0" quotePrefix="0" xfId="0"/>
    <xf numFmtId="0" fontId="4" fillId="8" borderId="1" pivotButton="0" quotePrefix="0" xfId="0"/>
    <xf numFmtId="165" fontId="2" fillId="8" borderId="1" pivotButton="0" quotePrefix="0" xfId="0"/>
    <xf numFmtId="0" fontId="2" fillId="0" borderId="1" applyAlignment="1" pivotButton="0" quotePrefix="0" xfId="0">
      <alignment vertical="top"/>
    </xf>
    <xf numFmtId="0" fontId="0" fillId="0" borderId="1" applyAlignment="1" pivotButton="0" quotePrefix="0" xfId="0">
      <alignment vertical="top"/>
    </xf>
    <xf numFmtId="0" fontId="0" fillId="0" borderId="1" applyAlignment="1" pivotButton="0" quotePrefix="0" xfId="0">
      <alignment vertical="top" wrapText="1"/>
    </xf>
    <xf numFmtId="165" fontId="0" fillId="0" borderId="1" applyAlignment="1" pivotButton="0" quotePrefix="0" xfId="0">
      <alignment vertical="top"/>
    </xf>
    <xf numFmtId="0" fontId="2" fillId="0" borderId="1" pivotButton="0" quotePrefix="0" xfId="0"/>
    <xf numFmtId="0" fontId="5" fillId="9"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linkedin.com/search/results/people/?keywords=Google%20India%20recruiter%20OR%20talent%20acquisition" TargetMode="External" Id="rId1" /><Relationship Type="http://schemas.openxmlformats.org/officeDocument/2006/relationships/hyperlink" Target="https://www.google.com/about/careers/applications/jobs/results/?location=India" TargetMode="External" Id="rId2" /><Relationship Type="http://schemas.openxmlformats.org/officeDocument/2006/relationships/hyperlink" Target="https://www.linkedin.com/search/results/people/?keywords=Microsoft%20India%20recruiter%20OR%20talent%20acquisition" TargetMode="External" Id="rId3" /><Relationship Type="http://schemas.openxmlformats.org/officeDocument/2006/relationships/hyperlink" Target="https://careers.microsoft.com/professionals/us/en/l-india" TargetMode="External" Id="rId4" /><Relationship Type="http://schemas.openxmlformats.org/officeDocument/2006/relationships/hyperlink" Target="https://www.linkedin.com/search/results/people/?keywords=Amazon%20India%20recruiter%20OR%20talent%20acquisition" TargetMode="External" Id="rId5" /><Relationship Type="http://schemas.openxmlformats.org/officeDocument/2006/relationships/hyperlink" Target="https://www.amazon.jobs/en/locations/india" TargetMode="External" Id="rId6" /><Relationship Type="http://schemas.openxmlformats.org/officeDocument/2006/relationships/hyperlink" Target="https://www.linkedin.com/search/results/people/?keywords=Adobe%20India%20recruiter%20OR%20talent%20acquisition" TargetMode="External" Id="rId7" /><Relationship Type="http://schemas.openxmlformats.org/officeDocument/2006/relationships/hyperlink" Target="https://careers.adobe.com/us/en/search-results?keywords=&amp;location=India" TargetMode="External" Id="rId8" /><Relationship Type="http://schemas.openxmlformats.org/officeDocument/2006/relationships/hyperlink" Target="https://www.linkedin.com/search/results/people/?keywords=Salesforce%20India%20recruiter%20OR%20talent%20acquisition" TargetMode="External" Id="rId9" /><Relationship Type="http://schemas.openxmlformats.org/officeDocument/2006/relationships/hyperlink" Target="https://careers.salesforce.com/en/jobs/?location=India" TargetMode="External" Id="rId10" /><Relationship Type="http://schemas.openxmlformats.org/officeDocument/2006/relationships/hyperlink" Target="https://www.linkedin.com/search/results/people/?keywords=Oracle%20India%20recruiter%20OR%20talent%20acquisition" TargetMode="External" Id="rId11" /><Relationship Type="http://schemas.openxmlformats.org/officeDocument/2006/relationships/hyperlink" Target="https://careers.oracle.com/en/sites/jobsearch/jobs?location=India" TargetMode="External" Id="rId12" /><Relationship Type="http://schemas.openxmlformats.org/officeDocument/2006/relationships/hyperlink" Target="https://www.linkedin.com/search/results/people/?keywords=SAP%20Labs%20India%20recruiter%20OR%20talent%20acquisition" TargetMode="External" Id="rId13" /><Relationship Type="http://schemas.openxmlformats.org/officeDocument/2006/relationships/hyperlink" Target="https://jobs.sap.com/search/?createNewAlert=false&amp;q=&amp;locationsearch=India" TargetMode="External" Id="rId14" /><Relationship Type="http://schemas.openxmlformats.org/officeDocument/2006/relationships/hyperlink" Target="https://www.linkedin.com/search/results/people/?keywords=Intuit%20India%20recruiter%20OR%20talent%20acquisition" TargetMode="External" Id="rId15" /><Relationship Type="http://schemas.openxmlformats.org/officeDocument/2006/relationships/hyperlink" Target="https://www.intuit.com/careers/search-jobs/?location=India" TargetMode="External" Id="rId16" /><Relationship Type="http://schemas.openxmlformats.org/officeDocument/2006/relationships/hyperlink" Target="https://www.linkedin.com/search/results/people/?keywords=Cisco%20India%20recruiter%20OR%20talent%20acquisition" TargetMode="External" Id="rId17" /><Relationship Type="http://schemas.openxmlformats.org/officeDocument/2006/relationships/hyperlink" Target="https://jobs.cisco.com/jobs/SearchJobs/?21178=%5B169%5D&amp;21178_format=6020&amp;listFilterMode=1" TargetMode="External" Id="rId18" /><Relationship Type="http://schemas.openxmlformats.org/officeDocument/2006/relationships/hyperlink" Target="https://www.linkedin.com/search/results/people/?keywords=VMware%20Broadcom%20India%20recruiter%20OR%20talent%20acquisition" TargetMode="External" Id="rId19" /><Relationship Type="http://schemas.openxmlformats.org/officeDocument/2006/relationships/hyperlink" Target="https://careers.broadcom.com/global/en/search-results?keywords=&amp;location=India" TargetMode="External" Id="rId20" /><Relationship Type="http://schemas.openxmlformats.org/officeDocument/2006/relationships/hyperlink" Target="https://www.linkedin.com/search/results/people/?keywords=Razorpay%20recruiter%20OR%20talent%20acquisition" TargetMode="External" Id="rId21" /><Relationship Type="http://schemas.openxmlformats.org/officeDocument/2006/relationships/hyperlink" Target="https://razorpay.com/jobs/" TargetMode="External" Id="rId22" /><Relationship Type="http://schemas.openxmlformats.org/officeDocument/2006/relationships/hyperlink" Target="https://www.linkedin.com/search/results/people/?keywords=PhonePe%20recruiter%20OR%20talent%20acquisition" TargetMode="External" Id="rId23" /><Relationship Type="http://schemas.openxmlformats.org/officeDocument/2006/relationships/hyperlink" Target="https://www.phonepe.com/careers/" TargetMode="External" Id="rId24" /><Relationship Type="http://schemas.openxmlformats.org/officeDocument/2006/relationships/hyperlink" Target="https://www.linkedin.com/search/results/people/?keywords=CRED%20recruiter%20OR%20talent%20acquisition" TargetMode="External" Id="rId25" /><Relationship Type="http://schemas.openxmlformats.org/officeDocument/2006/relationships/hyperlink" Target="https://careers.cred.club/" TargetMode="External" Id="rId26" /><Relationship Type="http://schemas.openxmlformats.org/officeDocument/2006/relationships/hyperlink" Target="https://www.linkedin.com/search/results/people/?keywords=Zerodha%20recruiter%20OR%20talent%20acquisition" TargetMode="External" Id="rId27" /><Relationship Type="http://schemas.openxmlformats.org/officeDocument/2006/relationships/hyperlink" Target="https://zerodha.com/careers/" TargetMode="External" Id="rId28" /><Relationship Type="http://schemas.openxmlformats.org/officeDocument/2006/relationships/hyperlink" Target="https://www.linkedin.com/search/results/people/?keywords=Freshworks%20recruiter%20OR%20talent%20acquisition" TargetMode="External" Id="rId29" /><Relationship Type="http://schemas.openxmlformats.org/officeDocument/2006/relationships/hyperlink" Target="https://www.freshworks.com/company/careers/" TargetMode="External" Id="rId30" /><Relationship Type="http://schemas.openxmlformats.org/officeDocument/2006/relationships/hyperlink" Target="https://www.linkedin.com/search/results/people/?keywords=Postman%20recruiter%20OR%20talent%20acquisition" TargetMode="External" Id="rId31" /><Relationship Type="http://schemas.openxmlformats.org/officeDocument/2006/relationships/hyperlink" Target="https://www.postman.com/company/careers/" TargetMode="External" Id="rId32" /><Relationship Type="http://schemas.openxmlformats.org/officeDocument/2006/relationships/hyperlink" Target="https://www.linkedin.com/search/results/people/?keywords=Flipkart%20recruiter%20OR%20talent%20acquisition" TargetMode="External" Id="rId33" /><Relationship Type="http://schemas.openxmlformats.org/officeDocument/2006/relationships/hyperlink" Target="https://www.flipkartcareers.com/" TargetMode="External" Id="rId34" /><Relationship Type="http://schemas.openxmlformats.org/officeDocument/2006/relationships/hyperlink" Target="https://www.linkedin.com/search/results/people/?keywords=Swiggy%20recruiter%20OR%20talent%20acquisition" TargetMode="External" Id="rId35" /><Relationship Type="http://schemas.openxmlformats.org/officeDocument/2006/relationships/hyperlink" Target="https://careers.swiggy.com/" TargetMode="External" Id="rId36" /><Relationship Type="http://schemas.openxmlformats.org/officeDocument/2006/relationships/hyperlink" Target="https://www.linkedin.com/search/results/people/?keywords=Zomato%20recruiter%20OR%20talent%20acquisition" TargetMode="External" Id="rId37" /><Relationship Type="http://schemas.openxmlformats.org/officeDocument/2006/relationships/hyperlink" Target="https://www.zomato.com/careers" TargetMode="External" Id="rId38" /><Relationship Type="http://schemas.openxmlformats.org/officeDocument/2006/relationships/hyperlink" Target="https://www.linkedin.com/search/results/people/?keywords=Paytm%20recruiter%20OR%20talent%20acquisition" TargetMode="External" Id="rId39" /><Relationship Type="http://schemas.openxmlformats.org/officeDocument/2006/relationships/hyperlink" Target="https://paytm.com/careers/" TargetMode="External" Id="rId40" /><Relationship Type="http://schemas.openxmlformats.org/officeDocument/2006/relationships/hyperlink" Target="https://www.linkedin.com/search/results/people/?keywords=Meesho%20recruiter%20OR%20talent%20acquisition" TargetMode="External" Id="rId41" /><Relationship Type="http://schemas.openxmlformats.org/officeDocument/2006/relationships/hyperlink" Target="https://meesho.io/jobs" TargetMode="External" Id="rId42" /><Relationship Type="http://schemas.openxmlformats.org/officeDocument/2006/relationships/hyperlink" Target="https://www.linkedin.com/search/results/people/?keywords=Dream11%20recruiter%20OR%20talent%20acquisition" TargetMode="External" Id="rId43" /><Relationship Type="http://schemas.openxmlformats.org/officeDocument/2006/relationships/hyperlink" Target="https://careers.dreamsports.group/" TargetMode="External" Id="rId44" /><Relationship Type="http://schemas.openxmlformats.org/officeDocument/2006/relationships/hyperlink" Target="https://www.linkedin.com/search/results/people/?keywords=Ola%20recruiter%20OR%20talent%20acquisition" TargetMode="External" Id="rId45" /><Relationship Type="http://schemas.openxmlformats.org/officeDocument/2006/relationships/hyperlink" Target="https://www.olacabs.com/careers" TargetMode="External" Id="rId46" /><Relationship Type="http://schemas.openxmlformats.org/officeDocument/2006/relationships/hyperlink" Target="https://www.linkedin.com/search/results/people/?keywords=Chargebee%20recruiter%20OR%20talent%20acquisition" TargetMode="External" Id="rId47" /><Relationship Type="http://schemas.openxmlformats.org/officeDocument/2006/relationships/hyperlink" Target="https://www.chargebee.com/careers/" TargetMode="External" Id="rId48" /><Relationship Type="http://schemas.openxmlformats.org/officeDocument/2006/relationships/hyperlink" Target="https://www.linkedin.com/search/results/people/?keywords=BrowserStack%20recruiter%20OR%20talent%20acquisition" TargetMode="External" Id="rId49" /><Relationship Type="http://schemas.openxmlformats.org/officeDocument/2006/relationships/hyperlink" Target="https://www.browserstack.com/careers" TargetMode="External" Id="rId50" /><Relationship Type="http://schemas.openxmlformats.org/officeDocument/2006/relationships/hyperlink" Target="https://www.linkedin.com/search/results/people/?keywords=Zoho%20recruiter%20OR%20talent%20acquisition" TargetMode="External" Id="rId51" /><Relationship Type="http://schemas.openxmlformats.org/officeDocument/2006/relationships/hyperlink" Target="https://www.zoho.com/careers/" TargetMode="External" Id="rId52" /><Relationship Type="http://schemas.openxmlformats.org/officeDocument/2006/relationships/hyperlink" Target="https://www.linkedin.com/search/results/people/?keywords=InMobi%20recruiter%20OR%20talent%20acquisition" TargetMode="External" Id="rId53" /><Relationship Type="http://schemas.openxmlformats.org/officeDocument/2006/relationships/hyperlink" Target="https://www.inmobi.com/company/careers/" TargetMode="External" Id="rId54" /><Relationship Type="http://schemas.openxmlformats.org/officeDocument/2006/relationships/hyperlink" Target="https://www.linkedin.com/search/results/people/?keywords=CleverTap%20recruiter%20OR%20talent%20acquisition" TargetMode="External" Id="rId55" /><Relationship Type="http://schemas.openxmlformats.org/officeDocument/2006/relationships/hyperlink" Target="https://clevertap.com/careers/" TargetMode="External" Id="rId56" /><Relationship Type="http://schemas.openxmlformats.org/officeDocument/2006/relationships/hyperlink" Target="https://www.linkedin.com/search/results/people/?keywords=Nykaa%20recruiter%20OR%20talent%20acquisition" TargetMode="External" Id="rId57" /><Relationship Type="http://schemas.openxmlformats.org/officeDocument/2006/relationships/hyperlink" Target="https://www.nykaa.com/careers" TargetMode="External" Id="rId58" /><Relationship Type="http://schemas.openxmlformats.org/officeDocument/2006/relationships/hyperlink" Target="https://www.linkedin.com/search/results/people/?keywords=Lenskart%20recruiter%20OR%20talent%20acquisition" TargetMode="External" Id="rId59" /><Relationship Type="http://schemas.openxmlformats.org/officeDocument/2006/relationships/hyperlink" Target="https://www.lenskart.com/careers" TargetMode="External" Id="rId60" /><Relationship Type="http://schemas.openxmlformats.org/officeDocument/2006/relationships/hyperlink" Target="https://www.linkedin.com/search/results/people/?keywords=Druva%20recruiter%20OR%20talent%20acquisition" TargetMode="External" Id="rId61" /><Relationship Type="http://schemas.openxmlformats.org/officeDocument/2006/relationships/hyperlink" Target="https://www.druva.com/about/careers.html" TargetMode="External" Id="rId62" /><Relationship Type="http://schemas.openxmlformats.org/officeDocument/2006/relationships/hyperlink" Target="https://www.linkedin.com/search/results/people/?keywords=Hasura%20recruiter%20OR%20talent%20acquisition" TargetMode="External" Id="rId63" /><Relationship Type="http://schemas.openxmlformats.org/officeDocument/2006/relationships/hyperlink" Target="https://hasura.io/careers/" TargetMode="External" Id="rId64" /><Relationship Type="http://schemas.openxmlformats.org/officeDocument/2006/relationships/hyperlink" Target="https://www.linkedin.com/search/results/people/?keywords=Unacademy%20recruiter%20OR%20talent%20acquisition" TargetMode="External" Id="rId65" /><Relationship Type="http://schemas.openxmlformats.org/officeDocument/2006/relationships/hyperlink" Target="https://unacademy.com/careers" TargetMode="External" Id="rId66" /><Relationship Type="http://schemas.openxmlformats.org/officeDocument/2006/relationships/hyperlink" Target="https://www.linkedin.com/search/results/people/?keywords=Darwinbox%20recruiter%20OR%20talent%20acquisition" TargetMode="External" Id="rId67" /><Relationship Type="http://schemas.openxmlformats.org/officeDocument/2006/relationships/hyperlink" Target="https://darwinbox.com/careers/" TargetMode="External" Id="rId68" /><Relationship Type="http://schemas.openxmlformats.org/officeDocument/2006/relationships/hyperlink" Target="https://www.linkedin.com/search/results/people/?keywords=Innovaccer%20recruiter%20OR%20talent%20acquisition" TargetMode="External" Id="rId69" /><Relationship Type="http://schemas.openxmlformats.org/officeDocument/2006/relationships/hyperlink" Target="https://innovaccer.com/careers" TargetMode="External" Id="rId70" /><Relationship Type="http://schemas.openxmlformats.org/officeDocument/2006/relationships/hyperlink" Target="https://www.linkedin.com/search/results/people/?keywords=Juspay%20recruiter%20OR%20talent%20acquisition" TargetMode="External" Id="rId71" /><Relationship Type="http://schemas.openxmlformats.org/officeDocument/2006/relationships/hyperlink" Target="https://juspay.io/careers" TargetMode="External" Id="rId72" /><Relationship Type="http://schemas.openxmlformats.org/officeDocument/2006/relationships/hyperlink" Target="https://www.linkedin.com/search/results/people/?keywords=Cashfree%20recruiter%20OR%20talent%20acquisition" TargetMode="External" Id="rId73" /><Relationship Type="http://schemas.openxmlformats.org/officeDocument/2006/relationships/hyperlink" Target="https://www.cashfree.com/careers" TargetMode="External" Id="rId74" /><Relationship Type="http://schemas.openxmlformats.org/officeDocument/2006/relationships/hyperlink" Target="https://www.linkedin.com/search/results/people/?keywords=Yellow.ai%20recruiter%20OR%20talent%20acquisition" TargetMode="External" Id="rId75" /><Relationship Type="http://schemas.openxmlformats.org/officeDocument/2006/relationships/hyperlink" Target="https://yellow.ai/careers/" TargetMode="External" Id="rId76" /><Relationship Type="http://schemas.openxmlformats.org/officeDocument/2006/relationships/hyperlink" Target="https://www.linkedin.com/search/results/people/?keywords=Observe.AI%20recruiter%20OR%20talent%20acquisition" TargetMode="External" Id="rId77" /><Relationship Type="http://schemas.openxmlformats.org/officeDocument/2006/relationships/hyperlink" Target="https://www.observe.ai/careers" TargetMode="External" Id="rId78" /><Relationship Type="http://schemas.openxmlformats.org/officeDocument/2006/relationships/hyperlink" Target="https://www.linkedin.com/search/results/people/?keywords=SigNoz%20recruiter%20OR%20talent%20acquisition" TargetMode="External" Id="rId79" /><Relationship Type="http://schemas.openxmlformats.org/officeDocument/2006/relationships/hyperlink" Target="https://signoz.io/careers/" TargetMode="External" Id="rId80" /><Relationship Type="http://schemas.openxmlformats.org/officeDocument/2006/relationships/hyperlink" Target="https://www.linkedin.com/search/results/people/?keywords=Setu%20recruiter%20OR%20talent%20acquisition" TargetMode="External" Id="rId81" /><Relationship Type="http://schemas.openxmlformats.org/officeDocument/2006/relationships/hyperlink" Target="https://setu.co/careers" TargetMode="External" Id="rId82" /><Relationship Type="http://schemas.openxmlformats.org/officeDocument/2006/relationships/hyperlink" Target="https://www.linkedin.com/search/results/people/?keywords=Groww%20recruiter%20OR%20talent%20acquisition" TargetMode="External" Id="rId83" /><Relationship Type="http://schemas.openxmlformats.org/officeDocument/2006/relationships/hyperlink" Target="https://groww.in/careers" TargetMode="External" Id="rId84" /><Relationship Type="http://schemas.openxmlformats.org/officeDocument/2006/relationships/hyperlink" Target="https://www.linkedin.com/search/results/people/?keywords=Hyperface%20recruiter%20OR%20talent%20acquisition" TargetMode="External" Id="rId85" /><Relationship Type="http://schemas.openxmlformats.org/officeDocument/2006/relationships/hyperlink" Target="https://hyperface.co/careers" TargetMode="External" Id="rId86" /><Relationship Type="http://schemas.openxmlformats.org/officeDocument/2006/relationships/hyperlink" Target="https://www.linkedin.com/search/results/people/?keywords=Leap%20recruiter%20OR%20talent%20acquisition" TargetMode="External" Id="rId87" /><Relationship Type="http://schemas.openxmlformats.org/officeDocument/2006/relationships/hyperlink" Target="https://leapscholar.com/careers" TargetMode="External" Id="rId88" /><Relationship Type="http://schemas.openxmlformats.org/officeDocument/2006/relationships/hyperlink" Target="https://www.linkedin.com/search/results/people/?keywords=Scaler%20%28InterviewBit%29%20recruiter%20OR%20talent%20acquisition" TargetMode="External" Id="rId89" /><Relationship Type="http://schemas.openxmlformats.org/officeDocument/2006/relationships/hyperlink" Target="https://www.scaler.com/careers/" TargetMode="External" Id="rId90" /><Relationship Type="http://schemas.openxmlformats.org/officeDocument/2006/relationships/hyperlink" Target="https://www.linkedin.com/search/results/people/?keywords=GitLab%20recruiter%20OR%20talent%20acquisition" TargetMode="External" Id="rId91" /><Relationship Type="http://schemas.openxmlformats.org/officeDocument/2006/relationships/hyperlink" Target="https://about.gitlab.com/jobs/" TargetMode="External" Id="rId92" /><Relationship Type="http://schemas.openxmlformats.org/officeDocument/2006/relationships/hyperlink" Target="https://www.linkedin.com/search/results/people/?keywords=Automattic%20recruiter%20OR%20talent%20acquisition" TargetMode="External" Id="rId93" /><Relationship Type="http://schemas.openxmlformats.org/officeDocument/2006/relationships/hyperlink" Target="https://automattic.com/work-with-us/" TargetMode="External" Id="rId94" /><Relationship Type="http://schemas.openxmlformats.org/officeDocument/2006/relationships/hyperlink" Target="https://www.linkedin.com/search/results/people/?keywords=Zapier%20recruiter%20OR%20talent%20acquisition" TargetMode="External" Id="rId95" /><Relationship Type="http://schemas.openxmlformats.org/officeDocument/2006/relationships/hyperlink" Target="https://zapier.com/jobs" TargetMode="External" Id="rId96" /><Relationship Type="http://schemas.openxmlformats.org/officeDocument/2006/relationships/hyperlink" Target="https://www.linkedin.com/search/results/people/?keywords=Toptal%20recruiter%20OR%20talent%20acquisition" TargetMode="External" Id="rId97" /><Relationship Type="http://schemas.openxmlformats.org/officeDocument/2006/relationships/hyperlink" Target="https://www.toptal.com/careers" TargetMode="External" Id="rId98" /><Relationship Type="http://schemas.openxmlformats.org/officeDocument/2006/relationships/hyperlink" Target="https://www.linkedin.com/search/results/people/?keywords=Doist%20recruiter%20OR%20talent%20acquisition" TargetMode="External" Id="rId99" /><Relationship Type="http://schemas.openxmlformats.org/officeDocument/2006/relationships/hyperlink" Target="https://doist.com/careers" TargetMode="External" Id="rId100" /></Relationships>
</file>

<file path=xl/worksheets/_rels/sheet3.xml.rels><Relationships xmlns="http://schemas.openxmlformats.org/package/2006/relationships"><Relationship Type="http://schemas.openxmlformats.org/officeDocument/2006/relationships/hyperlink" Target="https://www.linkedin.com/in/example-priya-sharma" TargetMode="External" Id="rId1" /></Relationships>
</file>

<file path=xl/worksheets/sheet1.xml><?xml version="1.0" encoding="utf-8"?>
<worksheet xmlns="http://schemas.openxmlformats.org/spreadsheetml/2006/main">
  <sheetPr>
    <outlinePr summaryBelow="1" summaryRight="1"/>
    <pageSetUpPr/>
  </sheetPr>
  <dimension ref="A1:A45"/>
  <sheetViews>
    <sheetView showGridLines="0" workbookViewId="0">
      <selection activeCell="A1" sqref="A1"/>
    </sheetView>
  </sheetViews>
  <sheetFormatPr baseColWidth="8" defaultRowHeight="15"/>
  <cols>
    <col width="100" customWidth="1" min="1" max="1"/>
  </cols>
  <sheetData>
    <row r="1" ht="28" customHeight="1">
      <c r="A1" s="1" t="inlineStr">
        <is>
          <t>Cold Outreach Job Search Tracker</t>
        </is>
      </c>
    </row>
    <row r="2" ht="8" customHeight="1">
      <c r="A2" s="2" t="inlineStr"/>
    </row>
    <row r="3" ht="18" customHeight="1">
      <c r="A3" s="2" t="inlineStr">
        <is>
          <t>Target: Software Engineer / Web Developer / MERN / Full stack · 3–6 years · Bangalore, Hyderabad, Pune, Delhi NCR, Remote India · Fintech, AI startups, SaaS, IT, startups</t>
        </is>
      </c>
    </row>
    <row r="4" ht="8" customHeight="1">
      <c r="A4" s="2" t="inlineStr"/>
    </row>
    <row r="5" ht="18" customHeight="1">
      <c r="A5" s="1" t="inlineStr">
        <is>
          <t>HOW TO USE THIS WORKBOOK</t>
        </is>
      </c>
    </row>
    <row r="6" ht="8" customHeight="1">
      <c r="A6" s="2" t="inlineStr"/>
    </row>
    <row r="7" ht="18" customHeight="1">
      <c r="A7" s="1" t="inlineStr">
        <is>
          <t>Tab: Company Tracker</t>
        </is>
      </c>
    </row>
    <row r="8" ht="18" customHeight="1">
      <c r="A8" s="2" t="inlineStr">
        <is>
          <t>Work through 50 curated companies by tier. Click “Search recruiters” to open a pre-built LinkedIn people search. Click “Careers page” to check open roles. Update Priority, Status, People Found, and Emails Sent as you progress.</t>
        </is>
      </c>
    </row>
    <row r="9" ht="8" customHeight="1">
      <c r="A9" s="2" t="inlineStr"/>
    </row>
    <row r="10" ht="18" customHeight="1">
      <c r="A10" s="1" t="inlineStr">
        <is>
          <t>Tab: Outreach Tracker</t>
        </is>
      </c>
    </row>
    <row r="11" ht="18" customHeight="1">
      <c r="A11" s="2" t="inlineStr">
        <is>
          <t>Log every contact you email. Fill First Name through Notes. Date Sent auto-calculates Days Since Sent. Track opens, replies, and follow-ups. Use the yellow sample row as a format guide.</t>
        </is>
      </c>
    </row>
    <row r="12" ht="8" customHeight="1">
      <c r="A12" s="2" t="inlineStr"/>
    </row>
    <row r="13" ht="18" customHeight="1">
      <c r="A13" s="1" t="inlineStr">
        <is>
          <t>Tab: Email Template</t>
        </is>
      </c>
    </row>
    <row r="14" ht="18" customHeight="1">
      <c r="A14" s="2" t="inlineStr">
        <is>
          <t>Copy Version A (recruiters/TA) or Version B (engineering managers). Replace {{First Name}}, {{Company}}, and {{Hook}}. Send follow-up 5 days later if no reply.</t>
        </is>
      </c>
    </row>
    <row r="15" ht="8" customHeight="1">
      <c r="A15" s="2" t="inlineStr"/>
    </row>
    <row r="16" ht="18" customHeight="1">
      <c r="A16" s="1" t="inlineStr">
        <is>
          <t>DAILY 30-MINUTE WORKFLOW</t>
        </is>
      </c>
    </row>
    <row r="17" ht="8" customHeight="1">
      <c r="A17" s="2" t="inlineStr"/>
    </row>
    <row r="18" ht="18" customHeight="1">
      <c r="A18" s="2" t="inlineStr">
        <is>
          <t>1. Pick 3–5 companies from Company Tracker (start Tier 1, then expand).</t>
        </is>
      </c>
    </row>
    <row r="19" ht="18" customHeight="1">
      <c r="A19" s="2" t="inlineStr">
        <is>
          <t>2. Open LinkedIn people search link → find 2 recruiters or TA per company.</t>
        </is>
      </c>
    </row>
    <row r="20" ht="18" customHeight="1">
      <c r="A20" s="2" t="inlineStr">
        <is>
          <t>3. Use free email finders (Hunter, Snov, Apollo, etc.) to get verified emails.</t>
        </is>
      </c>
    </row>
    <row r="21" ht="18" customHeight="1">
      <c r="A21" s="2" t="inlineStr">
        <is>
          <t>4. Write a one-line hook specific to that person or company.</t>
        </is>
      </c>
    </row>
    <row r="22" ht="18" customHeight="1">
      <c r="A22" s="2" t="inlineStr">
        <is>
          <t>5. Send via mail-merge (YAMM / GMass / Mailmeteor) — never BCC at scale.</t>
        </is>
      </c>
    </row>
    <row r="23" ht="18" customHeight="1">
      <c r="A23" s="2" t="inlineStr">
        <is>
          <t>6. Log each send in Outreach Tracker; follow up after 5 days if no reply.</t>
        </is>
      </c>
    </row>
    <row r="24" ht="8" customHeight="1">
      <c r="A24" s="2" t="inlineStr"/>
    </row>
    <row r="25" ht="18" customHeight="1">
      <c r="A25" s="1" t="inlineStr">
        <is>
          <t>FREE EMAIL-FINDER STACK (approx. monthly free tiers)</t>
        </is>
      </c>
    </row>
    <row r="26" ht="8" customHeight="1">
      <c r="A26" s="2" t="inlineStr"/>
    </row>
    <row r="27" ht="18" customHeight="1">
      <c r="A27" s="2" t="inlineStr">
        <is>
          <t>• Apollo.io — ~50 credits/month on free plan</t>
        </is>
      </c>
    </row>
    <row r="28" ht="18" customHeight="1">
      <c r="A28" s="2" t="inlineStr">
        <is>
          <t>• Hunter.io — ~25 searches/month</t>
        </is>
      </c>
    </row>
    <row r="29" ht="18" customHeight="1">
      <c r="A29" s="2" t="inlineStr">
        <is>
          <t>• Snov.io — ~50 credits/month</t>
        </is>
      </c>
    </row>
    <row r="30" ht="18" customHeight="1">
      <c r="A30" s="2" t="inlineStr">
        <is>
          <t>• FindThatLead — limited free searches</t>
        </is>
      </c>
    </row>
    <row r="31" ht="18" customHeight="1">
      <c r="A31" s="2" t="inlineStr">
        <is>
          <t>• RocketReach — limited free lookups</t>
        </is>
      </c>
    </row>
    <row r="32" ht="8" customHeight="1">
      <c r="A32" s="2" t="inlineStr"/>
    </row>
    <row r="33" ht="18" customHeight="1">
      <c r="A33" s="1" t="inlineStr">
        <is>
          <t>FREE MAIL-MERGE TOOLS (daily limits)</t>
        </is>
      </c>
    </row>
    <row r="34" ht="8" customHeight="1">
      <c r="A34" s="2" t="inlineStr"/>
    </row>
    <row r="35" ht="18" customHeight="1">
      <c r="A35" s="2" t="inlineStr">
        <is>
          <t>• YAMM (Yet Another Mail Merge) — ~50 emails/day on free Gmail</t>
        </is>
      </c>
    </row>
    <row r="36" ht="18" customHeight="1">
      <c r="A36" s="2" t="inlineStr">
        <is>
          <t>• GMass — free tier with daily send caps</t>
        </is>
      </c>
    </row>
    <row r="37" ht="18" customHeight="1">
      <c r="A37" s="2" t="inlineStr">
        <is>
          <t>• Mailmeteor — ~75 emails/day on free plan</t>
        </is>
      </c>
    </row>
    <row r="38" ht="8" customHeight="1">
      <c r="A38" s="2" t="inlineStr"/>
    </row>
    <row r="39" ht="18" customHeight="1">
      <c r="A39" s="1" t="inlineStr">
        <is>
          <t>WARNINGS</t>
        </is>
      </c>
    </row>
    <row r="40" ht="8" customHeight="1">
      <c r="A40" s="2" t="inlineStr"/>
    </row>
    <row r="41" ht="18" customHeight="1">
      <c r="A41" s="2" t="inlineStr">
        <is>
          <t>• Never BCC large cold-email batches — use individual merge sends.</t>
        </is>
      </c>
    </row>
    <row r="42" ht="18" customHeight="1">
      <c r="A42" s="2" t="inlineStr">
        <is>
          <t>• Warm up a new inbox: ~10 emails/day for 3–4 days before scaling.</t>
        </is>
      </c>
    </row>
    <row r="43" ht="18" customHeight="1">
      <c r="A43" s="2" t="inlineStr">
        <is>
          <t>• No links or attachments in the first email (spam-filter risk).</t>
        </is>
      </c>
    </row>
    <row r="44" ht="18" customHeight="1">
      <c r="A44" s="2" t="inlineStr">
        <is>
          <t>• Send 9–11 AM in the recipient’s time zone when possible.</t>
        </is>
      </c>
    </row>
    <row r="45" ht="18" customHeight="1">
      <c r="A45" s="2" t="inlineStr">
        <is>
          <t>• If 0 replies after 30 sends, rewrite your hook and subject line.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4"/>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5" customWidth="1" min="1" max="1"/>
    <col width="22" customWidth="1" min="2" max="2"/>
    <col width="28" customWidth="1" min="3" max="3"/>
    <col width="22" customWidth="1" min="4" max="4"/>
    <col width="42" customWidth="1" min="5" max="5"/>
    <col width="22" customWidth="1" min="6" max="6"/>
    <col width="18" customWidth="1" min="7" max="7"/>
    <col width="12" customWidth="1" min="8" max="8"/>
    <col width="14" customWidth="1" min="9" max="9"/>
    <col width="14" customWidth="1" min="10" max="10"/>
    <col width="14" customWidth="1" min="11" max="11"/>
    <col width="24" customWidth="1" min="12" max="12"/>
  </cols>
  <sheetData>
    <row r="1">
      <c r="A1" s="3" t="inlineStr">
        <is>
          <t>Total companies</t>
        </is>
      </c>
      <c r="B1" s="4">
        <f>COUNTA(B5:B54)</f>
        <v/>
      </c>
    </row>
    <row r="2">
      <c r="A2" s="3" t="inlineStr">
        <is>
          <t>Total people found</t>
        </is>
      </c>
      <c r="B2" s="4">
        <f>SUM(J5:J54)</f>
        <v/>
      </c>
    </row>
    <row r="3">
      <c r="A3" s="3" t="inlineStr">
        <is>
          <t>Total emails sent</t>
        </is>
      </c>
      <c r="B3" s="4">
        <f>SUM(K5:K54)</f>
        <v/>
      </c>
    </row>
    <row r="4">
      <c r="A4" s="5" t="inlineStr">
        <is>
          <t>#</t>
        </is>
      </c>
      <c r="B4" s="5" t="inlineStr">
        <is>
          <t>Company</t>
        </is>
      </c>
      <c r="C4" s="5" t="inlineStr">
        <is>
          <t>Tier</t>
        </is>
      </c>
      <c r="D4" s="5" t="inlineStr">
        <is>
          <t>HQ/Location</t>
        </is>
      </c>
      <c r="E4" s="5" t="inlineStr">
        <is>
          <t>Why Target</t>
        </is>
      </c>
      <c r="F4" s="5" t="inlineStr">
        <is>
          <t>LinkedIn People Search URL</t>
        </is>
      </c>
      <c r="G4" s="5" t="inlineStr">
        <is>
          <t>Careers Page</t>
        </is>
      </c>
      <c r="H4" s="5" t="inlineStr">
        <is>
          <t>Priority</t>
        </is>
      </c>
      <c r="I4" s="5" t="inlineStr">
        <is>
          <t>Status</t>
        </is>
      </c>
      <c r="J4" s="5" t="inlineStr">
        <is>
          <t>People Found</t>
        </is>
      </c>
      <c r="K4" s="5" t="inlineStr">
        <is>
          <t>Emails Sent</t>
        </is>
      </c>
      <c r="L4" s="5" t="inlineStr">
        <is>
          <t>Notes</t>
        </is>
      </c>
    </row>
    <row r="5">
      <c r="A5" s="6" t="n">
        <v>1</v>
      </c>
      <c r="B5" s="6" t="inlineStr">
        <is>
          <t>Google India</t>
        </is>
      </c>
      <c r="C5" s="6" t="inlineStr">
        <is>
          <t>Tier 1 — Big Tech</t>
        </is>
      </c>
      <c r="D5" s="6" t="inlineStr">
        <is>
          <t>Bangalore / Hyderabad</t>
        </is>
      </c>
      <c r="E5" s="7" t="inlineStr">
        <is>
          <t>Large-scale web platforms; strong MERN-adjacent full-stack teams in India offices.</t>
        </is>
      </c>
      <c r="F5" s="8" t="inlineStr">
        <is>
          <t>Search recruiters</t>
        </is>
      </c>
      <c r="G5" s="8" t="inlineStr">
        <is>
          <t>Careers page</t>
        </is>
      </c>
      <c r="H5" s="6" t="inlineStr">
        <is>
          <t>Medium</t>
        </is>
      </c>
      <c r="I5" s="6" t="inlineStr">
        <is>
          <t>Not started</t>
        </is>
      </c>
      <c r="J5" s="6" t="n">
        <v>0</v>
      </c>
      <c r="K5" s="6" t="n">
        <v>0</v>
      </c>
      <c r="L5" s="6" t="inlineStr"/>
    </row>
    <row r="6">
      <c r="A6" s="6" t="n">
        <v>2</v>
      </c>
      <c r="B6" s="6" t="inlineStr">
        <is>
          <t>Microsoft India</t>
        </is>
      </c>
      <c r="C6" s="6" t="inlineStr">
        <is>
          <t>Tier 1 — Big Tech</t>
        </is>
      </c>
      <c r="D6" s="6" t="inlineStr">
        <is>
          <t>Hyderabad / Bangalore / Noida</t>
        </is>
      </c>
      <c r="E6" s="7" t="inlineStr">
        <is>
          <t>Azure, Office 365, and product engineering — steady full-stack hiring at 3–6 YOE.</t>
        </is>
      </c>
      <c r="F6" s="8" t="inlineStr">
        <is>
          <t>Search recruiters</t>
        </is>
      </c>
      <c r="G6" s="8" t="inlineStr">
        <is>
          <t>Careers page</t>
        </is>
      </c>
      <c r="H6" s="6" t="inlineStr">
        <is>
          <t>Medium</t>
        </is>
      </c>
      <c r="I6" s="6" t="inlineStr">
        <is>
          <t>Not started</t>
        </is>
      </c>
      <c r="J6" s="6" t="n">
        <v>0</v>
      </c>
      <c r="K6" s="6" t="n">
        <v>0</v>
      </c>
      <c r="L6" s="6" t="inlineStr"/>
    </row>
    <row r="7">
      <c r="A7" s="6" t="n">
        <v>3</v>
      </c>
      <c r="B7" s="6" t="inlineStr">
        <is>
          <t>Amazon India</t>
        </is>
      </c>
      <c r="C7" s="6" t="inlineStr">
        <is>
          <t>Tier 1 — Big Tech</t>
        </is>
      </c>
      <c r="D7" s="6" t="inlineStr">
        <is>
          <t>Bangalore / Hyderabad / Chennai</t>
        </is>
      </c>
      <c r="E7" s="7" t="inlineStr">
        <is>
          <t>E-commerce + AWS India teams; high volume of SDE-II / full-stack roles.</t>
        </is>
      </c>
      <c r="F7" s="8" t="inlineStr">
        <is>
          <t>Search recruiters</t>
        </is>
      </c>
      <c r="G7" s="8" t="inlineStr">
        <is>
          <t>Careers page</t>
        </is>
      </c>
      <c r="H7" s="6" t="inlineStr">
        <is>
          <t>Medium</t>
        </is>
      </c>
      <c r="I7" s="6" t="inlineStr">
        <is>
          <t>Not started</t>
        </is>
      </c>
      <c r="J7" s="6" t="n">
        <v>0</v>
      </c>
      <c r="K7" s="6" t="n">
        <v>0</v>
      </c>
      <c r="L7" s="6" t="inlineStr"/>
    </row>
    <row r="8">
      <c r="A8" s="6" t="n">
        <v>4</v>
      </c>
      <c r="B8" s="6" t="inlineStr">
        <is>
          <t>Adobe India</t>
        </is>
      </c>
      <c r="C8" s="6" t="inlineStr">
        <is>
          <t>Tier 1 — Big Tech</t>
        </is>
      </c>
      <c r="D8" s="6" t="inlineStr">
        <is>
          <t>Noida / Bangalore</t>
        </is>
      </c>
      <c r="E8" s="7" t="inlineStr">
        <is>
          <t>Creative Cloud and Experience Cloud — modern web stack, product-focused engineering.</t>
        </is>
      </c>
      <c r="F8" s="8" t="inlineStr">
        <is>
          <t>Search recruiters</t>
        </is>
      </c>
      <c r="G8" s="8" t="inlineStr">
        <is>
          <t>Careers page</t>
        </is>
      </c>
      <c r="H8" s="6" t="inlineStr">
        <is>
          <t>Medium</t>
        </is>
      </c>
      <c r="I8" s="6" t="inlineStr">
        <is>
          <t>Not started</t>
        </is>
      </c>
      <c r="J8" s="6" t="n">
        <v>0</v>
      </c>
      <c r="K8" s="6" t="n">
        <v>0</v>
      </c>
      <c r="L8" s="6" t="inlineStr"/>
    </row>
    <row r="9">
      <c r="A9" s="6" t="n">
        <v>5</v>
      </c>
      <c r="B9" s="6" t="inlineStr">
        <is>
          <t>Salesforce India</t>
        </is>
      </c>
      <c r="C9" s="6" t="inlineStr">
        <is>
          <t>Tier 1 — Big Tech</t>
        </is>
      </c>
      <c r="D9" s="6" t="inlineStr">
        <is>
          <t>Hyderabad / Bangalore</t>
        </is>
      </c>
      <c r="E9" s="7" t="inlineStr">
        <is>
          <t>SaaS platform engineering; strong India R&amp;D for web and cloud products.</t>
        </is>
      </c>
      <c r="F9" s="8" t="inlineStr">
        <is>
          <t>Search recruiters</t>
        </is>
      </c>
      <c r="G9" s="8" t="inlineStr">
        <is>
          <t>Careers page</t>
        </is>
      </c>
      <c r="H9" s="6" t="inlineStr">
        <is>
          <t>Medium</t>
        </is>
      </c>
      <c r="I9" s="6" t="inlineStr">
        <is>
          <t>Not started</t>
        </is>
      </c>
      <c r="J9" s="6" t="n">
        <v>0</v>
      </c>
      <c r="K9" s="6" t="n">
        <v>0</v>
      </c>
      <c r="L9" s="6" t="inlineStr"/>
    </row>
    <row r="10">
      <c r="A10" s="6" t="n">
        <v>6</v>
      </c>
      <c r="B10" s="6" t="inlineStr">
        <is>
          <t>Oracle India</t>
        </is>
      </c>
      <c r="C10" s="6" t="inlineStr">
        <is>
          <t>Tier 1 — Big Tech</t>
        </is>
      </c>
      <c r="D10" s="6" t="inlineStr">
        <is>
          <t>Bangalore / Hyderabad</t>
        </is>
      </c>
      <c r="E10" s="7" t="inlineStr">
        <is>
          <t>Cloud infrastructure and enterprise SaaS — full-stack roles in India hubs.</t>
        </is>
      </c>
      <c r="F10" s="8" t="inlineStr">
        <is>
          <t>Search recruiters</t>
        </is>
      </c>
      <c r="G10" s="8" t="inlineStr">
        <is>
          <t>Careers page</t>
        </is>
      </c>
      <c r="H10" s="6" t="inlineStr">
        <is>
          <t>Medium</t>
        </is>
      </c>
      <c r="I10" s="6" t="inlineStr">
        <is>
          <t>Not started</t>
        </is>
      </c>
      <c r="J10" s="6" t="n">
        <v>0</v>
      </c>
      <c r="K10" s="6" t="n">
        <v>0</v>
      </c>
      <c r="L10" s="6" t="inlineStr"/>
    </row>
    <row r="11">
      <c r="A11" s="6" t="n">
        <v>7</v>
      </c>
      <c r="B11" s="6" t="inlineStr">
        <is>
          <t>SAP Labs India</t>
        </is>
      </c>
      <c r="C11" s="6" t="inlineStr">
        <is>
          <t>Tier 1 — Big Tech</t>
        </is>
      </c>
      <c r="D11" s="6" t="inlineStr">
        <is>
          <t>Bangalore / Gurgaon</t>
        </is>
      </c>
      <c r="E11" s="7" t="inlineStr">
        <is>
          <t>Enterprise SaaS product development; stable mid-level engineering pipeline.</t>
        </is>
      </c>
      <c r="F11" s="8" t="inlineStr">
        <is>
          <t>Search recruiters</t>
        </is>
      </c>
      <c r="G11" s="8" t="inlineStr">
        <is>
          <t>Careers page</t>
        </is>
      </c>
      <c r="H11" s="6" t="inlineStr">
        <is>
          <t>Medium</t>
        </is>
      </c>
      <c r="I11" s="6" t="inlineStr">
        <is>
          <t>Not started</t>
        </is>
      </c>
      <c r="J11" s="6" t="n">
        <v>0</v>
      </c>
      <c r="K11" s="6" t="n">
        <v>0</v>
      </c>
      <c r="L11" s="6" t="inlineStr"/>
    </row>
    <row r="12">
      <c r="A12" s="6" t="n">
        <v>8</v>
      </c>
      <c r="B12" s="6" t="inlineStr">
        <is>
          <t>Intuit India</t>
        </is>
      </c>
      <c r="C12" s="6" t="inlineStr">
        <is>
          <t>Tier 1 — Big Tech</t>
        </is>
      </c>
      <c r="D12" s="6" t="inlineStr">
        <is>
          <t>Bangalore</t>
        </is>
      </c>
      <c r="E12" s="7" t="inlineStr">
        <is>
          <t>Fintech-adjacent (QuickBooks, TurboTax) with strong full-stack product teams.</t>
        </is>
      </c>
      <c r="F12" s="8" t="inlineStr">
        <is>
          <t>Search recruiters</t>
        </is>
      </c>
      <c r="G12" s="8" t="inlineStr">
        <is>
          <t>Careers page</t>
        </is>
      </c>
      <c r="H12" s="6" t="inlineStr">
        <is>
          <t>Medium</t>
        </is>
      </c>
      <c r="I12" s="6" t="inlineStr">
        <is>
          <t>Not started</t>
        </is>
      </c>
      <c r="J12" s="6" t="n">
        <v>0</v>
      </c>
      <c r="K12" s="6" t="n">
        <v>0</v>
      </c>
      <c r="L12" s="6" t="inlineStr"/>
    </row>
    <row r="13">
      <c r="A13" s="6" t="n">
        <v>9</v>
      </c>
      <c r="B13" s="6" t="inlineStr">
        <is>
          <t>Cisco India</t>
        </is>
      </c>
      <c r="C13" s="6" t="inlineStr">
        <is>
          <t>Tier 1 — Big Tech</t>
        </is>
      </c>
      <c r="D13" s="6" t="inlineStr">
        <is>
          <t>Bangalore / Hyderabad</t>
        </is>
      </c>
      <c r="E13" s="7" t="inlineStr">
        <is>
          <t>Networking + SaaS (Webex, security) — web platform roles in India.</t>
        </is>
      </c>
      <c r="F13" s="8" t="inlineStr">
        <is>
          <t>Search recruiters</t>
        </is>
      </c>
      <c r="G13" s="8" t="inlineStr">
        <is>
          <t>Careers page</t>
        </is>
      </c>
      <c r="H13" s="6" t="inlineStr">
        <is>
          <t>Medium</t>
        </is>
      </c>
      <c r="I13" s="6" t="inlineStr">
        <is>
          <t>Not started</t>
        </is>
      </c>
      <c r="J13" s="6" t="n">
        <v>0</v>
      </c>
      <c r="K13" s="6" t="n">
        <v>0</v>
      </c>
      <c r="L13" s="6" t="inlineStr"/>
    </row>
    <row r="14">
      <c r="A14" s="6" t="n">
        <v>10</v>
      </c>
      <c r="B14" s="6" t="inlineStr">
        <is>
          <t>VMware Broadcom India</t>
        </is>
      </c>
      <c r="C14" s="6" t="inlineStr">
        <is>
          <t>Tier 1 — Big Tech</t>
        </is>
      </c>
      <c r="D14" s="6" t="inlineStr">
        <is>
          <t>Bangalore / Pune</t>
        </is>
      </c>
      <c r="E14" s="7" t="inlineStr">
        <is>
          <t>Cloud and virtualization products; Bangalore/Pune engineering centers.</t>
        </is>
      </c>
      <c r="F14" s="8" t="inlineStr">
        <is>
          <t>Search recruiters</t>
        </is>
      </c>
      <c r="G14" s="8" t="inlineStr">
        <is>
          <t>Careers page</t>
        </is>
      </c>
      <c r="H14" s="6" t="inlineStr">
        <is>
          <t>Medium</t>
        </is>
      </c>
      <c r="I14" s="6" t="inlineStr">
        <is>
          <t>Not started</t>
        </is>
      </c>
      <c r="J14" s="6" t="n">
        <v>0</v>
      </c>
      <c r="K14" s="6" t="n">
        <v>0</v>
      </c>
      <c r="L14" s="6" t="inlineStr"/>
    </row>
    <row r="15">
      <c r="A15" s="9" t="n">
        <v>11</v>
      </c>
      <c r="B15" s="9" t="inlineStr">
        <is>
          <t>Razorpay</t>
        </is>
      </c>
      <c r="C15" s="9" t="inlineStr">
        <is>
          <t>Tier 2 — Unicorns / late-stage</t>
        </is>
      </c>
      <c r="D15" s="9" t="inlineStr">
        <is>
          <t>Bangalore</t>
        </is>
      </c>
      <c r="E15" s="10" t="inlineStr">
        <is>
          <t>Top Indian fintech; MERN-friendly product engineering and payments platform.</t>
        </is>
      </c>
      <c r="F15" s="11" t="inlineStr">
        <is>
          <t>Search recruiters</t>
        </is>
      </c>
      <c r="G15" s="11" t="inlineStr">
        <is>
          <t>Careers page</t>
        </is>
      </c>
      <c r="H15" s="9" t="inlineStr">
        <is>
          <t>Medium</t>
        </is>
      </c>
      <c r="I15" s="9" t="inlineStr">
        <is>
          <t>Not started</t>
        </is>
      </c>
      <c r="J15" s="9" t="n">
        <v>0</v>
      </c>
      <c r="K15" s="9" t="n">
        <v>0</v>
      </c>
      <c r="L15" s="9" t="inlineStr"/>
    </row>
    <row r="16">
      <c r="A16" s="9" t="n">
        <v>12</v>
      </c>
      <c r="B16" s="9" t="inlineStr">
        <is>
          <t>PhonePe</t>
        </is>
      </c>
      <c r="C16" s="9" t="inlineStr">
        <is>
          <t>Tier 2 — Unicorns / late-stage</t>
        </is>
      </c>
      <c r="D16" s="9" t="inlineStr">
        <is>
          <t>Bangalore</t>
        </is>
      </c>
      <c r="E16" s="10" t="inlineStr">
        <is>
          <t>UPI super-app scale; full-stack roles on consumer and merchant products.</t>
        </is>
      </c>
      <c r="F16" s="11" t="inlineStr">
        <is>
          <t>Search recruiters</t>
        </is>
      </c>
      <c r="G16" s="11" t="inlineStr">
        <is>
          <t>Careers page</t>
        </is>
      </c>
      <c r="H16" s="9" t="inlineStr">
        <is>
          <t>Medium</t>
        </is>
      </c>
      <c r="I16" s="9" t="inlineStr">
        <is>
          <t>Not started</t>
        </is>
      </c>
      <c r="J16" s="9" t="n">
        <v>0</v>
      </c>
      <c r="K16" s="9" t="n">
        <v>0</v>
      </c>
      <c r="L16" s="9" t="inlineStr"/>
    </row>
    <row r="17">
      <c r="A17" s="9" t="n">
        <v>13</v>
      </c>
      <c r="B17" s="9" t="inlineStr">
        <is>
          <t>CRED</t>
        </is>
      </c>
      <c r="C17" s="9" t="inlineStr">
        <is>
          <t>Tier 2 — Unicorns / late-stage</t>
        </is>
      </c>
      <c r="D17" s="9" t="inlineStr">
        <is>
          <t>Bangalore</t>
        </is>
      </c>
      <c r="E17" s="10" t="inlineStr">
        <is>
          <t>Premium fintech with strong design-engineering culture; web + mobile stack.</t>
        </is>
      </c>
      <c r="F17" s="11" t="inlineStr">
        <is>
          <t>Search recruiters</t>
        </is>
      </c>
      <c r="G17" s="11" t="inlineStr">
        <is>
          <t>Careers page</t>
        </is>
      </c>
      <c r="H17" s="9" t="inlineStr">
        <is>
          <t>Medium</t>
        </is>
      </c>
      <c r="I17" s="9" t="inlineStr">
        <is>
          <t>Not started</t>
        </is>
      </c>
      <c r="J17" s="9" t="n">
        <v>0</v>
      </c>
      <c r="K17" s="9" t="n">
        <v>0</v>
      </c>
      <c r="L17" s="9" t="inlineStr"/>
    </row>
    <row r="18">
      <c r="A18" s="9" t="n">
        <v>14</v>
      </c>
      <c r="B18" s="9" t="inlineStr">
        <is>
          <t>Zerodha</t>
        </is>
      </c>
      <c r="C18" s="9" t="inlineStr">
        <is>
          <t>Tier 2 — Unicorns / late-stage</t>
        </is>
      </c>
      <c r="D18" s="9" t="inlineStr">
        <is>
          <t>Bangalore</t>
        </is>
      </c>
      <c r="E18" s="10" t="inlineStr">
        <is>
          <t>India's largest broker; lean product teams, full-stack fintech engineering.</t>
        </is>
      </c>
      <c r="F18" s="11" t="inlineStr">
        <is>
          <t>Search recruiters</t>
        </is>
      </c>
      <c r="G18" s="11" t="inlineStr">
        <is>
          <t>Careers page</t>
        </is>
      </c>
      <c r="H18" s="9" t="inlineStr">
        <is>
          <t>Medium</t>
        </is>
      </c>
      <c r="I18" s="9" t="inlineStr">
        <is>
          <t>Not started</t>
        </is>
      </c>
      <c r="J18" s="9" t="n">
        <v>0</v>
      </c>
      <c r="K18" s="9" t="n">
        <v>0</v>
      </c>
      <c r="L18" s="9" t="inlineStr"/>
    </row>
    <row r="19">
      <c r="A19" s="9" t="n">
        <v>15</v>
      </c>
      <c r="B19" s="9" t="inlineStr">
        <is>
          <t>Freshworks</t>
        </is>
      </c>
      <c r="C19" s="9" t="inlineStr">
        <is>
          <t>Tier 2 — Unicorns / late-stage</t>
        </is>
      </c>
      <c r="D19" s="9" t="inlineStr">
        <is>
          <t>Chennai / Bangalore</t>
        </is>
      </c>
      <c r="E19" s="10" t="inlineStr">
        <is>
          <t>Global SaaS unicorn born in India; ideal for full-stack SaaS experience.</t>
        </is>
      </c>
      <c r="F19" s="11" t="inlineStr">
        <is>
          <t>Search recruiters</t>
        </is>
      </c>
      <c r="G19" s="11" t="inlineStr">
        <is>
          <t>Careers page</t>
        </is>
      </c>
      <c r="H19" s="9" t="inlineStr">
        <is>
          <t>Medium</t>
        </is>
      </c>
      <c r="I19" s="9" t="inlineStr">
        <is>
          <t>Not started</t>
        </is>
      </c>
      <c r="J19" s="9" t="n">
        <v>0</v>
      </c>
      <c r="K19" s="9" t="n">
        <v>0</v>
      </c>
      <c r="L19" s="9" t="inlineStr"/>
    </row>
    <row r="20">
      <c r="A20" s="9" t="n">
        <v>16</v>
      </c>
      <c r="B20" s="9" t="inlineStr">
        <is>
          <t>Postman</t>
        </is>
      </c>
      <c r="C20" s="9" t="inlineStr">
        <is>
          <t>Tier 2 — Unicorns / late-stage</t>
        </is>
      </c>
      <c r="D20" s="9" t="inlineStr">
        <is>
          <t>Bangalore</t>
        </is>
      </c>
      <c r="E20" s="10" t="inlineStr">
        <is>
          <t>API platform SaaS; developer tools company with strong web engineering.</t>
        </is>
      </c>
      <c r="F20" s="11" t="inlineStr">
        <is>
          <t>Search recruiters</t>
        </is>
      </c>
      <c r="G20" s="11" t="inlineStr">
        <is>
          <t>Careers page</t>
        </is>
      </c>
      <c r="H20" s="9" t="inlineStr">
        <is>
          <t>Medium</t>
        </is>
      </c>
      <c r="I20" s="9" t="inlineStr">
        <is>
          <t>Not started</t>
        </is>
      </c>
      <c r="J20" s="9" t="n">
        <v>0</v>
      </c>
      <c r="K20" s="9" t="n">
        <v>0</v>
      </c>
      <c r="L20" s="9" t="inlineStr"/>
    </row>
    <row r="21">
      <c r="A21" s="9" t="n">
        <v>17</v>
      </c>
      <c r="B21" s="9" t="inlineStr">
        <is>
          <t>Flipkart</t>
        </is>
      </c>
      <c r="C21" s="9" t="inlineStr">
        <is>
          <t>Tier 2 — Unicorns / late-stage</t>
        </is>
      </c>
      <c r="D21" s="9" t="inlineStr">
        <is>
          <t>Bangalore</t>
        </is>
      </c>
      <c r="E21" s="10" t="inlineStr">
        <is>
          <t>E-commerce at scale; full-stack roles on marketplace and supply chain.</t>
        </is>
      </c>
      <c r="F21" s="11" t="inlineStr">
        <is>
          <t>Search recruiters</t>
        </is>
      </c>
      <c r="G21" s="11" t="inlineStr">
        <is>
          <t>Careers page</t>
        </is>
      </c>
      <c r="H21" s="9" t="inlineStr">
        <is>
          <t>Medium</t>
        </is>
      </c>
      <c r="I21" s="9" t="inlineStr">
        <is>
          <t>Not started</t>
        </is>
      </c>
      <c r="J21" s="9" t="n">
        <v>0</v>
      </c>
      <c r="K21" s="9" t="n">
        <v>0</v>
      </c>
      <c r="L21" s="9" t="inlineStr"/>
    </row>
    <row r="22">
      <c r="A22" s="9" t="n">
        <v>18</v>
      </c>
      <c r="B22" s="9" t="inlineStr">
        <is>
          <t>Swiggy</t>
        </is>
      </c>
      <c r="C22" s="9" t="inlineStr">
        <is>
          <t>Tier 2 — Unicorns / late-stage</t>
        </is>
      </c>
      <c r="D22" s="9" t="inlineStr">
        <is>
          <t>Bangalore</t>
        </is>
      </c>
      <c r="E22" s="10" t="inlineStr">
        <is>
          <t>Food delivery + quick commerce; high-growth product engineering in Bangalore.</t>
        </is>
      </c>
      <c r="F22" s="11" t="inlineStr">
        <is>
          <t>Search recruiters</t>
        </is>
      </c>
      <c r="G22" s="11" t="inlineStr">
        <is>
          <t>Careers page</t>
        </is>
      </c>
      <c r="H22" s="9" t="inlineStr">
        <is>
          <t>Medium</t>
        </is>
      </c>
      <c r="I22" s="9" t="inlineStr">
        <is>
          <t>Not started</t>
        </is>
      </c>
      <c r="J22" s="9" t="n">
        <v>0</v>
      </c>
      <c r="K22" s="9" t="n">
        <v>0</v>
      </c>
      <c r="L22" s="9" t="inlineStr"/>
    </row>
    <row r="23">
      <c r="A23" s="9" t="n">
        <v>19</v>
      </c>
      <c r="B23" s="9" t="inlineStr">
        <is>
          <t>Zomato</t>
        </is>
      </c>
      <c r="C23" s="9" t="inlineStr">
        <is>
          <t>Tier 2 — Unicorns / late-stage</t>
        </is>
      </c>
      <c r="D23" s="9" t="inlineStr">
        <is>
          <t>Gurgaon (Delhi NCR)</t>
        </is>
      </c>
      <c r="E23" s="10" t="inlineStr">
        <is>
          <t>Public food-tech company; full-stack roles in Delhi NCR hub.</t>
        </is>
      </c>
      <c r="F23" s="11" t="inlineStr">
        <is>
          <t>Search recruiters</t>
        </is>
      </c>
      <c r="G23" s="11" t="inlineStr">
        <is>
          <t>Careers page</t>
        </is>
      </c>
      <c r="H23" s="9" t="inlineStr">
        <is>
          <t>Medium</t>
        </is>
      </c>
      <c r="I23" s="9" t="inlineStr">
        <is>
          <t>Not started</t>
        </is>
      </c>
      <c r="J23" s="9" t="n">
        <v>0</v>
      </c>
      <c r="K23" s="9" t="n">
        <v>0</v>
      </c>
      <c r="L23" s="9" t="inlineStr"/>
    </row>
    <row r="24">
      <c r="A24" s="9" t="n">
        <v>20</v>
      </c>
      <c r="B24" s="9" t="inlineStr">
        <is>
          <t>Paytm</t>
        </is>
      </c>
      <c r="C24" s="9" t="inlineStr">
        <is>
          <t>Tier 2 — Unicorns / late-stage</t>
        </is>
      </c>
      <c r="D24" s="9" t="inlineStr">
        <is>
          <t>Noida (Delhi NCR)</t>
        </is>
      </c>
      <c r="E24" s="10" t="inlineStr">
        <is>
          <t>Payments + fintech super-app; large engineering org in NCR.</t>
        </is>
      </c>
      <c r="F24" s="11" t="inlineStr">
        <is>
          <t>Search recruiters</t>
        </is>
      </c>
      <c r="G24" s="11" t="inlineStr">
        <is>
          <t>Careers page</t>
        </is>
      </c>
      <c r="H24" s="9" t="inlineStr">
        <is>
          <t>Medium</t>
        </is>
      </c>
      <c r="I24" s="9" t="inlineStr">
        <is>
          <t>Not started</t>
        </is>
      </c>
      <c r="J24" s="9" t="n">
        <v>0</v>
      </c>
      <c r="K24" s="9" t="n">
        <v>0</v>
      </c>
      <c r="L24" s="9" t="inlineStr"/>
    </row>
    <row r="25">
      <c r="A25" s="9" t="n">
        <v>21</v>
      </c>
      <c r="B25" s="9" t="inlineStr">
        <is>
          <t>Meesho</t>
        </is>
      </c>
      <c r="C25" s="9" t="inlineStr">
        <is>
          <t>Tier 2 — Unicorns / late-stage</t>
        </is>
      </c>
      <c r="D25" s="9" t="inlineStr">
        <is>
          <t>Bangalore</t>
        </is>
      </c>
      <c r="E25" s="10" t="inlineStr">
        <is>
          <t>Social commerce unicorn; full-stack web for seller and buyer platforms.</t>
        </is>
      </c>
      <c r="F25" s="11" t="inlineStr">
        <is>
          <t>Search recruiters</t>
        </is>
      </c>
      <c r="G25" s="11" t="inlineStr">
        <is>
          <t>Careers page</t>
        </is>
      </c>
      <c r="H25" s="9" t="inlineStr">
        <is>
          <t>Medium</t>
        </is>
      </c>
      <c r="I25" s="9" t="inlineStr">
        <is>
          <t>Not started</t>
        </is>
      </c>
      <c r="J25" s="9" t="n">
        <v>0</v>
      </c>
      <c r="K25" s="9" t="n">
        <v>0</v>
      </c>
      <c r="L25" s="9" t="inlineStr"/>
    </row>
    <row r="26">
      <c r="A26" s="9" t="n">
        <v>22</v>
      </c>
      <c r="B26" s="9" t="inlineStr">
        <is>
          <t>Dream11</t>
        </is>
      </c>
      <c r="C26" s="9" t="inlineStr">
        <is>
          <t>Tier 2 — Unicorns / late-stage</t>
        </is>
      </c>
      <c r="D26" s="9" t="inlineStr">
        <is>
          <t>Mumbai / Bangalore</t>
        </is>
      </c>
      <c r="E26" s="10" t="inlineStr">
        <is>
          <t>Fantasy sports at scale; product engineering with real-time web systems.</t>
        </is>
      </c>
      <c r="F26" s="11" t="inlineStr">
        <is>
          <t>Search recruiters</t>
        </is>
      </c>
      <c r="G26" s="11" t="inlineStr">
        <is>
          <t>Careers page</t>
        </is>
      </c>
      <c r="H26" s="9" t="inlineStr">
        <is>
          <t>Medium</t>
        </is>
      </c>
      <c r="I26" s="9" t="inlineStr">
        <is>
          <t>Not started</t>
        </is>
      </c>
      <c r="J26" s="9" t="n">
        <v>0</v>
      </c>
      <c r="K26" s="9" t="n">
        <v>0</v>
      </c>
      <c r="L26" s="9" t="inlineStr"/>
    </row>
    <row r="27">
      <c r="A27" s="9" t="n">
        <v>23</v>
      </c>
      <c r="B27" s="9" t="inlineStr">
        <is>
          <t>Ola</t>
        </is>
      </c>
      <c r="C27" s="9" t="inlineStr">
        <is>
          <t>Tier 2 — Unicorns / late-stage</t>
        </is>
      </c>
      <c r="D27" s="9" t="inlineStr">
        <is>
          <t>Bangalore</t>
        </is>
      </c>
      <c r="E27" s="10" t="inlineStr">
        <is>
          <t>Mobility + fintech (Ola Money); full-stack roles in Bangalore HQ.</t>
        </is>
      </c>
      <c r="F27" s="11" t="inlineStr">
        <is>
          <t>Search recruiters</t>
        </is>
      </c>
      <c r="G27" s="11" t="inlineStr">
        <is>
          <t>Careers page</t>
        </is>
      </c>
      <c r="H27" s="9" t="inlineStr">
        <is>
          <t>Medium</t>
        </is>
      </c>
      <c r="I27" s="9" t="inlineStr">
        <is>
          <t>Not started</t>
        </is>
      </c>
      <c r="J27" s="9" t="n">
        <v>0</v>
      </c>
      <c r="K27" s="9" t="n">
        <v>0</v>
      </c>
      <c r="L27" s="9" t="inlineStr"/>
    </row>
    <row r="28">
      <c r="A28" s="9" t="n">
        <v>24</v>
      </c>
      <c r="B28" s="9" t="inlineStr">
        <is>
          <t>Chargebee</t>
        </is>
      </c>
      <c r="C28" s="9" t="inlineStr">
        <is>
          <t>Tier 2 — Unicorns / late-stage</t>
        </is>
      </c>
      <c r="D28" s="9" t="inlineStr">
        <is>
          <t>Chennai / Remote India</t>
        </is>
      </c>
      <c r="E28" s="10" t="inlineStr">
        <is>
          <t>Subscription billing SaaS; strong fit for full-stack SaaS developers.</t>
        </is>
      </c>
      <c r="F28" s="11" t="inlineStr">
        <is>
          <t>Search recruiters</t>
        </is>
      </c>
      <c r="G28" s="11" t="inlineStr">
        <is>
          <t>Careers page</t>
        </is>
      </c>
      <c r="H28" s="9" t="inlineStr">
        <is>
          <t>Medium</t>
        </is>
      </c>
      <c r="I28" s="9" t="inlineStr">
        <is>
          <t>Not started</t>
        </is>
      </c>
      <c r="J28" s="9" t="n">
        <v>0</v>
      </c>
      <c r="K28" s="9" t="n">
        <v>0</v>
      </c>
      <c r="L28" s="9" t="inlineStr"/>
    </row>
    <row r="29">
      <c r="A29" s="9" t="n">
        <v>25</v>
      </c>
      <c r="B29" s="9" t="inlineStr">
        <is>
          <t>BrowserStack</t>
        </is>
      </c>
      <c r="C29" s="9" t="inlineStr">
        <is>
          <t>Tier 2 — Unicorns / late-stage</t>
        </is>
      </c>
      <c r="D29" s="9" t="inlineStr">
        <is>
          <t>Mumbai / Bangalore</t>
        </is>
      </c>
      <c r="E29" s="10" t="inlineStr">
        <is>
          <t>Developer SaaS platform; web-heavy product engineering culture.</t>
        </is>
      </c>
      <c r="F29" s="11" t="inlineStr">
        <is>
          <t>Search recruiters</t>
        </is>
      </c>
      <c r="G29" s="11" t="inlineStr">
        <is>
          <t>Careers page</t>
        </is>
      </c>
      <c r="H29" s="9" t="inlineStr">
        <is>
          <t>Medium</t>
        </is>
      </c>
      <c r="I29" s="9" t="inlineStr">
        <is>
          <t>Not started</t>
        </is>
      </c>
      <c r="J29" s="9" t="n">
        <v>0</v>
      </c>
      <c r="K29" s="9" t="n">
        <v>0</v>
      </c>
      <c r="L29" s="9" t="inlineStr"/>
    </row>
    <row r="30">
      <c r="A30" s="12" t="n">
        <v>26</v>
      </c>
      <c r="B30" s="12" t="inlineStr">
        <is>
          <t>Zoho</t>
        </is>
      </c>
      <c r="C30" s="12" t="inlineStr">
        <is>
          <t>Tier 3 — Mid-size product</t>
        </is>
      </c>
      <c r="D30" s="12" t="inlineStr">
        <is>
          <t>Chennai</t>
        </is>
      </c>
      <c r="E30" s="13" t="inlineStr">
        <is>
          <t>Bootstrapped SaaS suite; full-stack product roles without VC churn.</t>
        </is>
      </c>
      <c r="F30" s="14" t="inlineStr">
        <is>
          <t>Search recruiters</t>
        </is>
      </c>
      <c r="G30" s="14" t="inlineStr">
        <is>
          <t>Careers page</t>
        </is>
      </c>
      <c r="H30" s="12" t="inlineStr">
        <is>
          <t>Medium</t>
        </is>
      </c>
      <c r="I30" s="12" t="inlineStr">
        <is>
          <t>Not started</t>
        </is>
      </c>
      <c r="J30" s="12" t="n">
        <v>0</v>
      </c>
      <c r="K30" s="12" t="n">
        <v>0</v>
      </c>
      <c r="L30" s="12" t="inlineStr"/>
    </row>
    <row r="31">
      <c r="A31" s="12" t="n">
        <v>27</v>
      </c>
      <c r="B31" s="12" t="inlineStr">
        <is>
          <t>InMobi</t>
        </is>
      </c>
      <c r="C31" s="12" t="inlineStr">
        <is>
          <t>Tier 3 — Mid-size product</t>
        </is>
      </c>
      <c r="D31" s="12" t="inlineStr">
        <is>
          <t>Bangalore</t>
        </is>
      </c>
      <c r="E31" s="13" t="inlineStr">
        <is>
          <t>Ad-tech platform; large-scale distributed systems and web dashboards.</t>
        </is>
      </c>
      <c r="F31" s="14" t="inlineStr">
        <is>
          <t>Search recruiters</t>
        </is>
      </c>
      <c r="G31" s="14" t="inlineStr">
        <is>
          <t>Careers page</t>
        </is>
      </c>
      <c r="H31" s="12" t="inlineStr">
        <is>
          <t>Medium</t>
        </is>
      </c>
      <c r="I31" s="12" t="inlineStr">
        <is>
          <t>Not started</t>
        </is>
      </c>
      <c r="J31" s="12" t="n">
        <v>0</v>
      </c>
      <c r="K31" s="12" t="n">
        <v>0</v>
      </c>
      <c r="L31" s="12" t="inlineStr"/>
    </row>
    <row r="32">
      <c r="A32" s="12" t="n">
        <v>28</v>
      </c>
      <c r="B32" s="12" t="inlineStr">
        <is>
          <t>CleverTap</t>
        </is>
      </c>
      <c r="C32" s="12" t="inlineStr">
        <is>
          <t>Tier 3 — Mid-size product</t>
        </is>
      </c>
      <c r="D32" s="12" t="inlineStr">
        <is>
          <t>Mumbai / Bangalore</t>
        </is>
      </c>
      <c r="E32" s="13" t="inlineStr">
        <is>
          <t>Customer engagement SaaS; full-stack roles on analytics and campaign tools.</t>
        </is>
      </c>
      <c r="F32" s="14" t="inlineStr">
        <is>
          <t>Search recruiters</t>
        </is>
      </c>
      <c r="G32" s="14" t="inlineStr">
        <is>
          <t>Careers page</t>
        </is>
      </c>
      <c r="H32" s="12" t="inlineStr">
        <is>
          <t>Medium</t>
        </is>
      </c>
      <c r="I32" s="12" t="inlineStr">
        <is>
          <t>Not started</t>
        </is>
      </c>
      <c r="J32" s="12" t="n">
        <v>0</v>
      </c>
      <c r="K32" s="12" t="n">
        <v>0</v>
      </c>
      <c r="L32" s="12" t="inlineStr"/>
    </row>
    <row r="33">
      <c r="A33" s="12" t="n">
        <v>29</v>
      </c>
      <c r="B33" s="12" t="inlineStr">
        <is>
          <t>Nykaa</t>
        </is>
      </c>
      <c r="C33" s="12" t="inlineStr">
        <is>
          <t>Tier 3 — Mid-size product</t>
        </is>
      </c>
      <c r="D33" s="12" t="inlineStr">
        <is>
          <t>Mumbai</t>
        </is>
      </c>
      <c r="E33" s="13" t="inlineStr">
        <is>
          <t>E-commerce + beauty tech; full-stack web for catalog and checkout.</t>
        </is>
      </c>
      <c r="F33" s="14" t="inlineStr">
        <is>
          <t>Search recruiters</t>
        </is>
      </c>
      <c r="G33" s="14" t="inlineStr">
        <is>
          <t>Careers page</t>
        </is>
      </c>
      <c r="H33" s="12" t="inlineStr">
        <is>
          <t>Medium</t>
        </is>
      </c>
      <c r="I33" s="12" t="inlineStr">
        <is>
          <t>Not started</t>
        </is>
      </c>
      <c r="J33" s="12" t="n">
        <v>0</v>
      </c>
      <c r="K33" s="12" t="n">
        <v>0</v>
      </c>
      <c r="L33" s="12" t="inlineStr"/>
    </row>
    <row r="34">
      <c r="A34" s="12" t="n">
        <v>30</v>
      </c>
      <c r="B34" s="12" t="inlineStr">
        <is>
          <t>Lenskart</t>
        </is>
      </c>
      <c r="C34" s="12" t="inlineStr">
        <is>
          <t>Tier 3 — Mid-size product</t>
        </is>
      </c>
      <c r="D34" s="12" t="inlineStr">
        <is>
          <t>Gurgaon (Delhi NCR)</t>
        </is>
      </c>
      <c r="E34" s="13" t="inlineStr">
        <is>
          <t>Omnichannel retail tech; D2C e-commerce engineering in NCR.</t>
        </is>
      </c>
      <c r="F34" s="14" t="inlineStr">
        <is>
          <t>Search recruiters</t>
        </is>
      </c>
      <c r="G34" s="14" t="inlineStr">
        <is>
          <t>Careers page</t>
        </is>
      </c>
      <c r="H34" s="12" t="inlineStr">
        <is>
          <t>Medium</t>
        </is>
      </c>
      <c r="I34" s="12" t="inlineStr">
        <is>
          <t>Not started</t>
        </is>
      </c>
      <c r="J34" s="12" t="n">
        <v>0</v>
      </c>
      <c r="K34" s="12" t="n">
        <v>0</v>
      </c>
      <c r="L34" s="12" t="inlineStr"/>
    </row>
    <row r="35">
      <c r="A35" s="12" t="n">
        <v>31</v>
      </c>
      <c r="B35" s="12" t="inlineStr">
        <is>
          <t>Druva</t>
        </is>
      </c>
      <c r="C35" s="12" t="inlineStr">
        <is>
          <t>Tier 3 — Mid-size product</t>
        </is>
      </c>
      <c r="D35" s="12" t="inlineStr">
        <is>
          <t>Pune</t>
        </is>
      </c>
      <c r="E35" s="13" t="inlineStr">
        <is>
          <t>Cloud data protection SaaS; strong Pune engineering hub.</t>
        </is>
      </c>
      <c r="F35" s="14" t="inlineStr">
        <is>
          <t>Search recruiters</t>
        </is>
      </c>
      <c r="G35" s="14" t="inlineStr">
        <is>
          <t>Careers page</t>
        </is>
      </c>
      <c r="H35" s="12" t="inlineStr">
        <is>
          <t>Medium</t>
        </is>
      </c>
      <c r="I35" s="12" t="inlineStr">
        <is>
          <t>Not started</t>
        </is>
      </c>
      <c r="J35" s="12" t="n">
        <v>0</v>
      </c>
      <c r="K35" s="12" t="n">
        <v>0</v>
      </c>
      <c r="L35" s="12" t="inlineStr"/>
    </row>
    <row r="36">
      <c r="A36" s="12" t="n">
        <v>32</v>
      </c>
      <c r="B36" s="12" t="inlineStr">
        <is>
          <t>Hasura</t>
        </is>
      </c>
      <c r="C36" s="12" t="inlineStr">
        <is>
          <t>Tier 3 — Mid-size product</t>
        </is>
      </c>
      <c r="D36" s="12" t="inlineStr">
        <is>
          <t>Bangalore / Remote India</t>
        </is>
      </c>
      <c r="E36" s="13" t="inlineStr">
        <is>
          <t>GraphQL / data API platform; developer-first product, remote-friendly.</t>
        </is>
      </c>
      <c r="F36" s="14" t="inlineStr">
        <is>
          <t>Search recruiters</t>
        </is>
      </c>
      <c r="G36" s="14" t="inlineStr">
        <is>
          <t>Careers page</t>
        </is>
      </c>
      <c r="H36" s="12" t="inlineStr">
        <is>
          <t>Medium</t>
        </is>
      </c>
      <c r="I36" s="12" t="inlineStr">
        <is>
          <t>Not started</t>
        </is>
      </c>
      <c r="J36" s="12" t="n">
        <v>0</v>
      </c>
      <c r="K36" s="12" t="n">
        <v>0</v>
      </c>
      <c r="L36" s="12" t="inlineStr"/>
    </row>
    <row r="37">
      <c r="A37" s="12" t="n">
        <v>33</v>
      </c>
      <c r="B37" s="12" t="inlineStr">
        <is>
          <t>Unacademy</t>
        </is>
      </c>
      <c r="C37" s="12" t="inlineStr">
        <is>
          <t>Tier 3 — Mid-size product</t>
        </is>
      </c>
      <c r="D37" s="12" t="inlineStr">
        <is>
          <t>Bangalore</t>
        </is>
      </c>
      <c r="E37" s="13" t="inlineStr">
        <is>
          <t>Ed-tech platform; full-stack web for live classes and content delivery.</t>
        </is>
      </c>
      <c r="F37" s="14" t="inlineStr">
        <is>
          <t>Search recruiters</t>
        </is>
      </c>
      <c r="G37" s="14" t="inlineStr">
        <is>
          <t>Careers page</t>
        </is>
      </c>
      <c r="H37" s="12" t="inlineStr">
        <is>
          <t>Medium</t>
        </is>
      </c>
      <c r="I37" s="12" t="inlineStr">
        <is>
          <t>Not started</t>
        </is>
      </c>
      <c r="J37" s="12" t="n">
        <v>0</v>
      </c>
      <c r="K37" s="12" t="n">
        <v>0</v>
      </c>
      <c r="L37" s="12" t="inlineStr"/>
    </row>
    <row r="38">
      <c r="A38" s="12" t="n">
        <v>34</v>
      </c>
      <c r="B38" s="12" t="inlineStr">
        <is>
          <t>Darwinbox</t>
        </is>
      </c>
      <c r="C38" s="12" t="inlineStr">
        <is>
          <t>Tier 3 — Mid-size product</t>
        </is>
      </c>
      <c r="D38" s="12" t="inlineStr">
        <is>
          <t>Hyderabad</t>
        </is>
      </c>
      <c r="E38" s="13" t="inlineStr">
        <is>
          <t>HR SaaS unicorn-track; Hyderabad product engineering for enterprise web apps.</t>
        </is>
      </c>
      <c r="F38" s="14" t="inlineStr">
        <is>
          <t>Search recruiters</t>
        </is>
      </c>
      <c r="G38" s="14" t="inlineStr">
        <is>
          <t>Careers page</t>
        </is>
      </c>
      <c r="H38" s="12" t="inlineStr">
        <is>
          <t>Medium</t>
        </is>
      </c>
      <c r="I38" s="12" t="inlineStr">
        <is>
          <t>Not started</t>
        </is>
      </c>
      <c r="J38" s="12" t="n">
        <v>0</v>
      </c>
      <c r="K38" s="12" t="n">
        <v>0</v>
      </c>
      <c r="L38" s="12" t="inlineStr"/>
    </row>
    <row r="39">
      <c r="A39" s="12" t="n">
        <v>35</v>
      </c>
      <c r="B39" s="12" t="inlineStr">
        <is>
          <t>Innovaccer</t>
        </is>
      </c>
      <c r="C39" s="12" t="inlineStr">
        <is>
          <t>Tier 3 — Mid-size product</t>
        </is>
      </c>
      <c r="D39" s="12" t="inlineStr">
        <is>
          <t>Noida (Delhi NCR)</t>
        </is>
      </c>
      <c r="E39" s="13" t="inlineStr">
        <is>
          <t>Health-tech SaaS; full-stack roles on data platforms in NCR.</t>
        </is>
      </c>
      <c r="F39" s="14" t="inlineStr">
        <is>
          <t>Search recruiters</t>
        </is>
      </c>
      <c r="G39" s="14" t="inlineStr">
        <is>
          <t>Careers page</t>
        </is>
      </c>
      <c r="H39" s="12" t="inlineStr">
        <is>
          <t>Medium</t>
        </is>
      </c>
      <c r="I39" s="12" t="inlineStr">
        <is>
          <t>Not started</t>
        </is>
      </c>
      <c r="J39" s="12" t="n">
        <v>0</v>
      </c>
      <c r="K39" s="12" t="n">
        <v>0</v>
      </c>
      <c r="L39" s="12" t="inlineStr"/>
    </row>
    <row r="40">
      <c r="A40" s="15" t="n">
        <v>36</v>
      </c>
      <c r="B40" s="15" t="inlineStr">
        <is>
          <t>Juspay</t>
        </is>
      </c>
      <c r="C40" s="15" t="inlineStr">
        <is>
          <t>Tier 4 — Series A–C startups</t>
        </is>
      </c>
      <c r="D40" s="15" t="inlineStr">
        <is>
          <t>Bangalore</t>
        </is>
      </c>
      <c r="E40" s="16" t="inlineStr">
        <is>
          <t>Payments infrastructure fintech; deep full-stack work on checkout systems.</t>
        </is>
      </c>
      <c r="F40" s="17" t="inlineStr">
        <is>
          <t>Search recruiters</t>
        </is>
      </c>
      <c r="G40" s="17" t="inlineStr">
        <is>
          <t>Careers page</t>
        </is>
      </c>
      <c r="H40" s="15" t="inlineStr">
        <is>
          <t>Medium</t>
        </is>
      </c>
      <c r="I40" s="15" t="inlineStr">
        <is>
          <t>Not started</t>
        </is>
      </c>
      <c r="J40" s="15" t="n">
        <v>0</v>
      </c>
      <c r="K40" s="15" t="n">
        <v>0</v>
      </c>
      <c r="L40" s="15" t="inlineStr"/>
    </row>
    <row r="41">
      <c r="A41" s="15" t="n">
        <v>37</v>
      </c>
      <c r="B41" s="15" t="inlineStr">
        <is>
          <t>Cashfree</t>
        </is>
      </c>
      <c r="C41" s="15" t="inlineStr">
        <is>
          <t>Tier 4 — Series A–C startups</t>
        </is>
      </c>
      <c r="D41" s="15" t="inlineStr">
        <is>
          <t>Bangalore</t>
        </is>
      </c>
      <c r="E41" s="16" t="inlineStr">
        <is>
          <t>B2B payments fintech; MERN-friendly product teams.</t>
        </is>
      </c>
      <c r="F41" s="17" t="inlineStr">
        <is>
          <t>Search recruiters</t>
        </is>
      </c>
      <c r="G41" s="17" t="inlineStr">
        <is>
          <t>Careers page</t>
        </is>
      </c>
      <c r="H41" s="15" t="inlineStr">
        <is>
          <t>Medium</t>
        </is>
      </c>
      <c r="I41" s="15" t="inlineStr">
        <is>
          <t>Not started</t>
        </is>
      </c>
      <c r="J41" s="15" t="n">
        <v>0</v>
      </c>
      <c r="K41" s="15" t="n">
        <v>0</v>
      </c>
      <c r="L41" s="15" t="inlineStr"/>
    </row>
    <row r="42">
      <c r="A42" s="15" t="n">
        <v>38</v>
      </c>
      <c r="B42" s="15" t="inlineStr">
        <is>
          <t>Yellow.ai</t>
        </is>
      </c>
      <c r="C42" s="15" t="inlineStr">
        <is>
          <t>Tier 4 — Series A–C startups</t>
        </is>
      </c>
      <c r="D42" s="15" t="inlineStr">
        <is>
          <t>Bangalore</t>
        </is>
      </c>
      <c r="E42" s="16" t="inlineStr">
        <is>
          <t>Conversational AI SaaS; AI startup with full-stack platform engineering.</t>
        </is>
      </c>
      <c r="F42" s="17" t="inlineStr">
        <is>
          <t>Search recruiters</t>
        </is>
      </c>
      <c r="G42" s="17" t="inlineStr">
        <is>
          <t>Careers page</t>
        </is>
      </c>
      <c r="H42" s="15" t="inlineStr">
        <is>
          <t>Medium</t>
        </is>
      </c>
      <c r="I42" s="15" t="inlineStr">
        <is>
          <t>Not started</t>
        </is>
      </c>
      <c r="J42" s="15" t="n">
        <v>0</v>
      </c>
      <c r="K42" s="15" t="n">
        <v>0</v>
      </c>
      <c r="L42" s="15" t="inlineStr"/>
    </row>
    <row r="43">
      <c r="A43" s="15" t="n">
        <v>39</v>
      </c>
      <c r="B43" s="15" t="inlineStr">
        <is>
          <t>Observe.AI</t>
        </is>
      </c>
      <c r="C43" s="15" t="inlineStr">
        <is>
          <t>Tier 4 — Series A–C startups</t>
        </is>
      </c>
      <c r="D43" s="15" t="inlineStr">
        <is>
          <t>Bangalore / San Francisco</t>
        </is>
      </c>
      <c r="E43" s="16" t="inlineStr">
        <is>
          <t>AI for contact centers; India engineering center for ML + web products.</t>
        </is>
      </c>
      <c r="F43" s="17" t="inlineStr">
        <is>
          <t>Search recruiters</t>
        </is>
      </c>
      <c r="G43" s="17" t="inlineStr">
        <is>
          <t>Careers page</t>
        </is>
      </c>
      <c r="H43" s="15" t="inlineStr">
        <is>
          <t>Medium</t>
        </is>
      </c>
      <c r="I43" s="15" t="inlineStr">
        <is>
          <t>Not started</t>
        </is>
      </c>
      <c r="J43" s="15" t="n">
        <v>0</v>
      </c>
      <c r="K43" s="15" t="n">
        <v>0</v>
      </c>
      <c r="L43" s="15" t="inlineStr"/>
    </row>
    <row r="44">
      <c r="A44" s="15" t="n">
        <v>40</v>
      </c>
      <c r="B44" s="15" t="inlineStr">
        <is>
          <t>SigNoz</t>
        </is>
      </c>
      <c r="C44" s="15" t="inlineStr">
        <is>
          <t>Tier 4 — Series A–C startups</t>
        </is>
      </c>
      <c r="D44" s="15" t="inlineStr">
        <is>
          <t>Bangalore / Remote India</t>
        </is>
      </c>
      <c r="E44" s="16" t="inlineStr">
        <is>
          <t>Open-source observability; developer tools, remote-friendly full-stack.</t>
        </is>
      </c>
      <c r="F44" s="17" t="inlineStr">
        <is>
          <t>Search recruiters</t>
        </is>
      </c>
      <c r="G44" s="17" t="inlineStr">
        <is>
          <t>Careers page</t>
        </is>
      </c>
      <c r="H44" s="15" t="inlineStr">
        <is>
          <t>Medium</t>
        </is>
      </c>
      <c r="I44" s="15" t="inlineStr">
        <is>
          <t>Not started</t>
        </is>
      </c>
      <c r="J44" s="15" t="n">
        <v>0</v>
      </c>
      <c r="K44" s="15" t="n">
        <v>0</v>
      </c>
      <c r="L44" s="15" t="inlineStr"/>
    </row>
    <row r="45">
      <c r="A45" s="15" t="n">
        <v>41</v>
      </c>
      <c r="B45" s="15" t="inlineStr">
        <is>
          <t>Setu</t>
        </is>
      </c>
      <c r="C45" s="15" t="inlineStr">
        <is>
          <t>Tier 4 — Series A–C startups</t>
        </is>
      </c>
      <c r="D45" s="15" t="inlineStr">
        <is>
          <t>Bangalore</t>
        </is>
      </c>
      <c r="E45" s="16" t="inlineStr">
        <is>
          <t>API infrastructure fintech (Pincode); modern web stack for financial APIs.</t>
        </is>
      </c>
      <c r="F45" s="17" t="inlineStr">
        <is>
          <t>Search recruiters</t>
        </is>
      </c>
      <c r="G45" s="17" t="inlineStr">
        <is>
          <t>Careers page</t>
        </is>
      </c>
      <c r="H45" s="15" t="inlineStr">
        <is>
          <t>Medium</t>
        </is>
      </c>
      <c r="I45" s="15" t="inlineStr">
        <is>
          <t>Not started</t>
        </is>
      </c>
      <c r="J45" s="15" t="n">
        <v>0</v>
      </c>
      <c r="K45" s="15" t="n">
        <v>0</v>
      </c>
      <c r="L45" s="15" t="inlineStr"/>
    </row>
    <row r="46">
      <c r="A46" s="15" t="n">
        <v>42</v>
      </c>
      <c r="B46" s="15" t="inlineStr">
        <is>
          <t>Groww</t>
        </is>
      </c>
      <c r="C46" s="15" t="inlineStr">
        <is>
          <t>Tier 4 — Series A–C startups</t>
        </is>
      </c>
      <c r="D46" s="15" t="inlineStr">
        <is>
          <t>Bangalore</t>
        </is>
      </c>
      <c r="E46" s="16" t="inlineStr">
        <is>
          <t>Investments fintech; consumer web app at scale, strong Bangalore hiring.</t>
        </is>
      </c>
      <c r="F46" s="17" t="inlineStr">
        <is>
          <t>Search recruiters</t>
        </is>
      </c>
      <c r="G46" s="17" t="inlineStr">
        <is>
          <t>Careers page</t>
        </is>
      </c>
      <c r="H46" s="15" t="inlineStr">
        <is>
          <t>Medium</t>
        </is>
      </c>
      <c r="I46" s="15" t="inlineStr">
        <is>
          <t>Not started</t>
        </is>
      </c>
      <c r="J46" s="15" t="n">
        <v>0</v>
      </c>
      <c r="K46" s="15" t="n">
        <v>0</v>
      </c>
      <c r="L46" s="15" t="inlineStr"/>
    </row>
    <row r="47">
      <c r="A47" s="15" t="n">
        <v>43</v>
      </c>
      <c r="B47" s="15" t="inlineStr">
        <is>
          <t>Hyperface</t>
        </is>
      </c>
      <c r="C47" s="15" t="inlineStr">
        <is>
          <t>Tier 4 — Series A–C startups</t>
        </is>
      </c>
      <c r="D47" s="15" t="inlineStr">
        <is>
          <t>Bangalore</t>
        </is>
      </c>
      <c r="E47" s="16" t="inlineStr">
        <is>
          <t>Credit card fintech infrastructure; early-stage full-stack product work.</t>
        </is>
      </c>
      <c r="F47" s="17" t="inlineStr">
        <is>
          <t>Search recruiters</t>
        </is>
      </c>
      <c r="G47" s="17" t="inlineStr">
        <is>
          <t>Careers page</t>
        </is>
      </c>
      <c r="H47" s="15" t="inlineStr">
        <is>
          <t>Medium</t>
        </is>
      </c>
      <c r="I47" s="15" t="inlineStr">
        <is>
          <t>Not started</t>
        </is>
      </c>
      <c r="J47" s="15" t="n">
        <v>0</v>
      </c>
      <c r="K47" s="15" t="n">
        <v>0</v>
      </c>
      <c r="L47" s="15" t="inlineStr"/>
    </row>
    <row r="48">
      <c r="A48" s="15" t="n">
        <v>44</v>
      </c>
      <c r="B48" s="15" t="inlineStr">
        <is>
          <t>Leap</t>
        </is>
      </c>
      <c r="C48" s="15" t="inlineStr">
        <is>
          <t>Tier 4 — Series A–C startups</t>
        </is>
      </c>
      <c r="D48" s="15" t="inlineStr">
        <is>
          <t>Bangalore</t>
        </is>
      </c>
      <c r="E48" s="16" t="inlineStr">
        <is>
          <t>Ed-tech / study-abroad fintech; full-stack web for student platform.</t>
        </is>
      </c>
      <c r="F48" s="17" t="inlineStr">
        <is>
          <t>Search recruiters</t>
        </is>
      </c>
      <c r="G48" s="17" t="inlineStr">
        <is>
          <t>Careers page</t>
        </is>
      </c>
      <c r="H48" s="15" t="inlineStr">
        <is>
          <t>Medium</t>
        </is>
      </c>
      <c r="I48" s="15" t="inlineStr">
        <is>
          <t>Not started</t>
        </is>
      </c>
      <c r="J48" s="15" t="n">
        <v>0</v>
      </c>
      <c r="K48" s="15" t="n">
        <v>0</v>
      </c>
      <c r="L48" s="15" t="inlineStr"/>
    </row>
    <row r="49">
      <c r="A49" s="15" t="n">
        <v>45</v>
      </c>
      <c r="B49" s="15" t="inlineStr">
        <is>
          <t>Scaler (InterviewBit)</t>
        </is>
      </c>
      <c r="C49" s="15" t="inlineStr">
        <is>
          <t>Tier 4 — Series A–C startups</t>
        </is>
      </c>
      <c r="D49" s="15" t="inlineStr">
        <is>
          <t>Bangalore</t>
        </is>
      </c>
      <c r="E49" s="16" t="inlineStr">
        <is>
          <t>Ed-tech platform; full-stack engineering on learning products.</t>
        </is>
      </c>
      <c r="F49" s="17" t="inlineStr">
        <is>
          <t>Search recruiters</t>
        </is>
      </c>
      <c r="G49" s="17" t="inlineStr">
        <is>
          <t>Careers page</t>
        </is>
      </c>
      <c r="H49" s="15" t="inlineStr">
        <is>
          <t>Medium</t>
        </is>
      </c>
      <c r="I49" s="15" t="inlineStr">
        <is>
          <t>Not started</t>
        </is>
      </c>
      <c r="J49" s="15" t="n">
        <v>0</v>
      </c>
      <c r="K49" s="15" t="n">
        <v>0</v>
      </c>
      <c r="L49" s="15" t="inlineStr"/>
    </row>
    <row r="50">
      <c r="A50" s="18" t="n">
        <v>46</v>
      </c>
      <c r="B50" s="18" t="inlineStr">
        <is>
          <t>GitLab</t>
        </is>
      </c>
      <c r="C50" s="18" t="inlineStr">
        <is>
          <t>Tier 5 — Remote-friendly globals</t>
        </is>
      </c>
      <c r="D50" s="18" t="inlineStr">
        <is>
          <t>Remote India</t>
        </is>
      </c>
      <c r="E50" s="19" t="inlineStr">
        <is>
          <t>All-remote DevOps platform; hires full-stack engineers across India.</t>
        </is>
      </c>
      <c r="F50" s="20" t="inlineStr">
        <is>
          <t>Search recruiters</t>
        </is>
      </c>
      <c r="G50" s="20" t="inlineStr">
        <is>
          <t>Careers page</t>
        </is>
      </c>
      <c r="H50" s="18" t="inlineStr">
        <is>
          <t>Medium</t>
        </is>
      </c>
      <c r="I50" s="18" t="inlineStr">
        <is>
          <t>Not started</t>
        </is>
      </c>
      <c r="J50" s="18" t="n">
        <v>0</v>
      </c>
      <c r="K50" s="18" t="n">
        <v>0</v>
      </c>
      <c r="L50" s="18" t="inlineStr"/>
    </row>
    <row r="51">
      <c r="A51" s="18" t="n">
        <v>47</v>
      </c>
      <c r="B51" s="18" t="inlineStr">
        <is>
          <t>Automattic</t>
        </is>
      </c>
      <c r="C51" s="18" t="inlineStr">
        <is>
          <t>Tier 5 — Remote-friendly globals</t>
        </is>
      </c>
      <c r="D51" s="18" t="inlineStr">
        <is>
          <t>Remote India</t>
        </is>
      </c>
      <c r="E51" s="19" t="inlineStr">
        <is>
          <t>WordPress.com / WooCommerce — fully distributed, web-first engineering.</t>
        </is>
      </c>
      <c r="F51" s="20" t="inlineStr">
        <is>
          <t>Search recruiters</t>
        </is>
      </c>
      <c r="G51" s="20" t="inlineStr">
        <is>
          <t>Careers page</t>
        </is>
      </c>
      <c r="H51" s="18" t="inlineStr">
        <is>
          <t>Medium</t>
        </is>
      </c>
      <c r="I51" s="18" t="inlineStr">
        <is>
          <t>Not started</t>
        </is>
      </c>
      <c r="J51" s="18" t="n">
        <v>0</v>
      </c>
      <c r="K51" s="18" t="n">
        <v>0</v>
      </c>
      <c r="L51" s="18" t="inlineStr"/>
    </row>
    <row r="52">
      <c r="A52" s="18" t="n">
        <v>48</v>
      </c>
      <c r="B52" s="18" t="inlineStr">
        <is>
          <t>Zapier</t>
        </is>
      </c>
      <c r="C52" s="18" t="inlineStr">
        <is>
          <t>Tier 5 — Remote-friendly globals</t>
        </is>
      </c>
      <c r="D52" s="18" t="inlineStr">
        <is>
          <t>Remote India</t>
        </is>
      </c>
      <c r="E52" s="19" t="inlineStr">
        <is>
          <t>Automation SaaS; remote-first with India-eligible full-stack roles.</t>
        </is>
      </c>
      <c r="F52" s="20" t="inlineStr">
        <is>
          <t>Search recruiters</t>
        </is>
      </c>
      <c r="G52" s="20" t="inlineStr">
        <is>
          <t>Careers page</t>
        </is>
      </c>
      <c r="H52" s="18" t="inlineStr">
        <is>
          <t>Medium</t>
        </is>
      </c>
      <c r="I52" s="18" t="inlineStr">
        <is>
          <t>Not started</t>
        </is>
      </c>
      <c r="J52" s="18" t="n">
        <v>0</v>
      </c>
      <c r="K52" s="18" t="n">
        <v>0</v>
      </c>
      <c r="L52" s="18" t="inlineStr"/>
    </row>
    <row r="53">
      <c r="A53" s="18" t="n">
        <v>49</v>
      </c>
      <c r="B53" s="18" t="inlineStr">
        <is>
          <t>Toptal</t>
        </is>
      </c>
      <c r="C53" s="18" t="inlineStr">
        <is>
          <t>Tier 5 — Remote-friendly globals</t>
        </is>
      </c>
      <c r="D53" s="18" t="inlineStr">
        <is>
          <t>Remote India</t>
        </is>
      </c>
      <c r="E53" s="19" t="inlineStr">
        <is>
          <t>Elite remote network; contract and full-time paths for senior web devs.</t>
        </is>
      </c>
      <c r="F53" s="20" t="inlineStr">
        <is>
          <t>Search recruiters</t>
        </is>
      </c>
      <c r="G53" s="20" t="inlineStr">
        <is>
          <t>Careers page</t>
        </is>
      </c>
      <c r="H53" s="18" t="inlineStr">
        <is>
          <t>Medium</t>
        </is>
      </c>
      <c r="I53" s="18" t="inlineStr">
        <is>
          <t>Not started</t>
        </is>
      </c>
      <c r="J53" s="18" t="n">
        <v>0</v>
      </c>
      <c r="K53" s="18" t="n">
        <v>0</v>
      </c>
      <c r="L53" s="18" t="inlineStr"/>
    </row>
    <row r="54">
      <c r="A54" s="18" t="n">
        <v>50</v>
      </c>
      <c r="B54" s="18" t="inlineStr">
        <is>
          <t>Doist</t>
        </is>
      </c>
      <c r="C54" s="18" t="inlineStr">
        <is>
          <t>Tier 5 — Remote-friendly globals</t>
        </is>
      </c>
      <c r="D54" s="18" t="inlineStr">
        <is>
          <t>Remote India</t>
        </is>
      </c>
      <c r="E54" s="19" t="inlineStr">
        <is>
          <t>Todoist / Twist — async remote culture, product-focused full-stack work.</t>
        </is>
      </c>
      <c r="F54" s="20" t="inlineStr">
        <is>
          <t>Search recruiters</t>
        </is>
      </c>
      <c r="G54" s="20" t="inlineStr">
        <is>
          <t>Careers page</t>
        </is>
      </c>
      <c r="H54" s="18" t="inlineStr">
        <is>
          <t>Medium</t>
        </is>
      </c>
      <c r="I54" s="18" t="inlineStr">
        <is>
          <t>Not started</t>
        </is>
      </c>
      <c r="J54" s="18" t="n">
        <v>0</v>
      </c>
      <c r="K54" s="18" t="n">
        <v>0</v>
      </c>
      <c r="L54" s="18" t="inlineStr"/>
    </row>
  </sheetData>
  <dataValidations count="2">
    <dataValidation sqref="H5 H6 H7 H8 H9 H10 H11 H12 H13 H14 H15 H16 H17 H18 H19 H20 H21 H22 H23 H24 H25 H26 H27 H28 H29 H30 H31 H32 H33 H34 H35 H36 H37 H38 H39 H40 H41 H42 H43 H44 H45 H46 H47 H48 H49 H50 H51 H52 H53 H54" showDropDown="0" showInputMessage="0" showErrorMessage="0" allowBlank="1" type="list">
      <formula1>"High,Medium,Low"</formula1>
    </dataValidation>
    <dataValidation sqref="I5 I6 I7 I8 I9 I10 I11 I12 I13 I14 I15 I16 I17 I18 I19 I20 I21 I22 I23 I24 I25 I26 I27 I28 I29 I30 I31 I32 I33 I34 I35 I36 I37 I38 I39 I40 I41 I42 I43 I44 I45 I46 I47 I48 I49 I50 I51 I52 I53 I54" showDropDown="0" showInputMessage="0" showErrorMessage="0" allowBlank="1" type="list">
      <formula1>"Not started,Researching,Contacts found,Outreach started,Replied,Closed"</formula1>
    </dataValidation>
  </dataValidations>
  <hyperlinks>
    <hyperlink xmlns:r="http://schemas.openxmlformats.org/officeDocument/2006/relationships" ref="F5" r:id="rId1"/>
    <hyperlink xmlns:r="http://schemas.openxmlformats.org/officeDocument/2006/relationships" ref="G5" r:id="rId2"/>
    <hyperlink xmlns:r="http://schemas.openxmlformats.org/officeDocument/2006/relationships" ref="F6" r:id="rId3"/>
    <hyperlink xmlns:r="http://schemas.openxmlformats.org/officeDocument/2006/relationships" ref="G6" r:id="rId4"/>
    <hyperlink xmlns:r="http://schemas.openxmlformats.org/officeDocument/2006/relationships" ref="F7" r:id="rId5"/>
    <hyperlink xmlns:r="http://schemas.openxmlformats.org/officeDocument/2006/relationships" ref="G7" r:id="rId6"/>
    <hyperlink xmlns:r="http://schemas.openxmlformats.org/officeDocument/2006/relationships" ref="F8" r:id="rId7"/>
    <hyperlink xmlns:r="http://schemas.openxmlformats.org/officeDocument/2006/relationships" ref="G8" r:id="rId8"/>
    <hyperlink xmlns:r="http://schemas.openxmlformats.org/officeDocument/2006/relationships" ref="F9" r:id="rId9"/>
    <hyperlink xmlns:r="http://schemas.openxmlformats.org/officeDocument/2006/relationships" ref="G9" r:id="rId10"/>
    <hyperlink xmlns:r="http://schemas.openxmlformats.org/officeDocument/2006/relationships" ref="F10" r:id="rId11"/>
    <hyperlink xmlns:r="http://schemas.openxmlformats.org/officeDocument/2006/relationships" ref="G10" r:id="rId12"/>
    <hyperlink xmlns:r="http://schemas.openxmlformats.org/officeDocument/2006/relationships" ref="F11" r:id="rId13"/>
    <hyperlink xmlns:r="http://schemas.openxmlformats.org/officeDocument/2006/relationships" ref="G11" r:id="rId14"/>
    <hyperlink xmlns:r="http://schemas.openxmlformats.org/officeDocument/2006/relationships" ref="F12" r:id="rId15"/>
    <hyperlink xmlns:r="http://schemas.openxmlformats.org/officeDocument/2006/relationships" ref="G12" r:id="rId16"/>
    <hyperlink xmlns:r="http://schemas.openxmlformats.org/officeDocument/2006/relationships" ref="F13" r:id="rId17"/>
    <hyperlink xmlns:r="http://schemas.openxmlformats.org/officeDocument/2006/relationships" ref="G13" r:id="rId18"/>
    <hyperlink xmlns:r="http://schemas.openxmlformats.org/officeDocument/2006/relationships" ref="F14" r:id="rId19"/>
    <hyperlink xmlns:r="http://schemas.openxmlformats.org/officeDocument/2006/relationships" ref="G14" r:id="rId20"/>
    <hyperlink xmlns:r="http://schemas.openxmlformats.org/officeDocument/2006/relationships" ref="F15" r:id="rId21"/>
    <hyperlink xmlns:r="http://schemas.openxmlformats.org/officeDocument/2006/relationships" ref="G15" r:id="rId22"/>
    <hyperlink xmlns:r="http://schemas.openxmlformats.org/officeDocument/2006/relationships" ref="F16" r:id="rId23"/>
    <hyperlink xmlns:r="http://schemas.openxmlformats.org/officeDocument/2006/relationships" ref="G16" r:id="rId24"/>
    <hyperlink xmlns:r="http://schemas.openxmlformats.org/officeDocument/2006/relationships" ref="F17" r:id="rId25"/>
    <hyperlink xmlns:r="http://schemas.openxmlformats.org/officeDocument/2006/relationships" ref="G17" r:id="rId26"/>
    <hyperlink xmlns:r="http://schemas.openxmlformats.org/officeDocument/2006/relationships" ref="F18" r:id="rId27"/>
    <hyperlink xmlns:r="http://schemas.openxmlformats.org/officeDocument/2006/relationships" ref="G18" r:id="rId28"/>
    <hyperlink xmlns:r="http://schemas.openxmlformats.org/officeDocument/2006/relationships" ref="F19" r:id="rId29"/>
    <hyperlink xmlns:r="http://schemas.openxmlformats.org/officeDocument/2006/relationships" ref="G19" r:id="rId30"/>
    <hyperlink xmlns:r="http://schemas.openxmlformats.org/officeDocument/2006/relationships" ref="F20" r:id="rId31"/>
    <hyperlink xmlns:r="http://schemas.openxmlformats.org/officeDocument/2006/relationships" ref="G20" r:id="rId32"/>
    <hyperlink xmlns:r="http://schemas.openxmlformats.org/officeDocument/2006/relationships" ref="F21" r:id="rId33"/>
    <hyperlink xmlns:r="http://schemas.openxmlformats.org/officeDocument/2006/relationships" ref="G21" r:id="rId34"/>
    <hyperlink xmlns:r="http://schemas.openxmlformats.org/officeDocument/2006/relationships" ref="F22" r:id="rId35"/>
    <hyperlink xmlns:r="http://schemas.openxmlformats.org/officeDocument/2006/relationships" ref="G22" r:id="rId36"/>
    <hyperlink xmlns:r="http://schemas.openxmlformats.org/officeDocument/2006/relationships" ref="F23" r:id="rId37"/>
    <hyperlink xmlns:r="http://schemas.openxmlformats.org/officeDocument/2006/relationships" ref="G23" r:id="rId38"/>
    <hyperlink xmlns:r="http://schemas.openxmlformats.org/officeDocument/2006/relationships" ref="F24" r:id="rId39"/>
    <hyperlink xmlns:r="http://schemas.openxmlformats.org/officeDocument/2006/relationships" ref="G24" r:id="rId40"/>
    <hyperlink xmlns:r="http://schemas.openxmlformats.org/officeDocument/2006/relationships" ref="F25" r:id="rId41"/>
    <hyperlink xmlns:r="http://schemas.openxmlformats.org/officeDocument/2006/relationships" ref="G25" r:id="rId42"/>
    <hyperlink xmlns:r="http://schemas.openxmlformats.org/officeDocument/2006/relationships" ref="F26" r:id="rId43"/>
    <hyperlink xmlns:r="http://schemas.openxmlformats.org/officeDocument/2006/relationships" ref="G26" r:id="rId44"/>
    <hyperlink xmlns:r="http://schemas.openxmlformats.org/officeDocument/2006/relationships" ref="F27" r:id="rId45"/>
    <hyperlink xmlns:r="http://schemas.openxmlformats.org/officeDocument/2006/relationships" ref="G27" r:id="rId46"/>
    <hyperlink xmlns:r="http://schemas.openxmlformats.org/officeDocument/2006/relationships" ref="F28" r:id="rId47"/>
    <hyperlink xmlns:r="http://schemas.openxmlformats.org/officeDocument/2006/relationships" ref="G28" r:id="rId48"/>
    <hyperlink xmlns:r="http://schemas.openxmlformats.org/officeDocument/2006/relationships" ref="F29" r:id="rId49"/>
    <hyperlink xmlns:r="http://schemas.openxmlformats.org/officeDocument/2006/relationships" ref="G29" r:id="rId50"/>
    <hyperlink xmlns:r="http://schemas.openxmlformats.org/officeDocument/2006/relationships" ref="F30" r:id="rId51"/>
    <hyperlink xmlns:r="http://schemas.openxmlformats.org/officeDocument/2006/relationships" ref="G30" r:id="rId52"/>
    <hyperlink xmlns:r="http://schemas.openxmlformats.org/officeDocument/2006/relationships" ref="F31" r:id="rId53"/>
    <hyperlink xmlns:r="http://schemas.openxmlformats.org/officeDocument/2006/relationships" ref="G31" r:id="rId54"/>
    <hyperlink xmlns:r="http://schemas.openxmlformats.org/officeDocument/2006/relationships" ref="F32" r:id="rId55"/>
    <hyperlink xmlns:r="http://schemas.openxmlformats.org/officeDocument/2006/relationships" ref="G32" r:id="rId56"/>
    <hyperlink xmlns:r="http://schemas.openxmlformats.org/officeDocument/2006/relationships" ref="F33" r:id="rId57"/>
    <hyperlink xmlns:r="http://schemas.openxmlformats.org/officeDocument/2006/relationships" ref="G33" r:id="rId58"/>
    <hyperlink xmlns:r="http://schemas.openxmlformats.org/officeDocument/2006/relationships" ref="F34" r:id="rId59"/>
    <hyperlink xmlns:r="http://schemas.openxmlformats.org/officeDocument/2006/relationships" ref="G34" r:id="rId60"/>
    <hyperlink xmlns:r="http://schemas.openxmlformats.org/officeDocument/2006/relationships" ref="F35" r:id="rId61"/>
    <hyperlink xmlns:r="http://schemas.openxmlformats.org/officeDocument/2006/relationships" ref="G35" r:id="rId62"/>
    <hyperlink xmlns:r="http://schemas.openxmlformats.org/officeDocument/2006/relationships" ref="F36" r:id="rId63"/>
    <hyperlink xmlns:r="http://schemas.openxmlformats.org/officeDocument/2006/relationships" ref="G36" r:id="rId64"/>
    <hyperlink xmlns:r="http://schemas.openxmlformats.org/officeDocument/2006/relationships" ref="F37" r:id="rId65"/>
    <hyperlink xmlns:r="http://schemas.openxmlformats.org/officeDocument/2006/relationships" ref="G37" r:id="rId66"/>
    <hyperlink xmlns:r="http://schemas.openxmlformats.org/officeDocument/2006/relationships" ref="F38" r:id="rId67"/>
    <hyperlink xmlns:r="http://schemas.openxmlformats.org/officeDocument/2006/relationships" ref="G38" r:id="rId68"/>
    <hyperlink xmlns:r="http://schemas.openxmlformats.org/officeDocument/2006/relationships" ref="F39" r:id="rId69"/>
    <hyperlink xmlns:r="http://schemas.openxmlformats.org/officeDocument/2006/relationships" ref="G39" r:id="rId70"/>
    <hyperlink xmlns:r="http://schemas.openxmlformats.org/officeDocument/2006/relationships" ref="F40" r:id="rId71"/>
    <hyperlink xmlns:r="http://schemas.openxmlformats.org/officeDocument/2006/relationships" ref="G40" r:id="rId72"/>
    <hyperlink xmlns:r="http://schemas.openxmlformats.org/officeDocument/2006/relationships" ref="F41" r:id="rId73"/>
    <hyperlink xmlns:r="http://schemas.openxmlformats.org/officeDocument/2006/relationships" ref="G41" r:id="rId74"/>
    <hyperlink xmlns:r="http://schemas.openxmlformats.org/officeDocument/2006/relationships" ref="F42" r:id="rId75"/>
    <hyperlink xmlns:r="http://schemas.openxmlformats.org/officeDocument/2006/relationships" ref="G42" r:id="rId76"/>
    <hyperlink xmlns:r="http://schemas.openxmlformats.org/officeDocument/2006/relationships" ref="F43" r:id="rId77"/>
    <hyperlink xmlns:r="http://schemas.openxmlformats.org/officeDocument/2006/relationships" ref="G43" r:id="rId78"/>
    <hyperlink xmlns:r="http://schemas.openxmlformats.org/officeDocument/2006/relationships" ref="F44" r:id="rId79"/>
    <hyperlink xmlns:r="http://schemas.openxmlformats.org/officeDocument/2006/relationships" ref="G44" r:id="rId80"/>
    <hyperlink xmlns:r="http://schemas.openxmlformats.org/officeDocument/2006/relationships" ref="F45" r:id="rId81"/>
    <hyperlink xmlns:r="http://schemas.openxmlformats.org/officeDocument/2006/relationships" ref="G45" r:id="rId82"/>
    <hyperlink xmlns:r="http://schemas.openxmlformats.org/officeDocument/2006/relationships" ref="F46" r:id="rId83"/>
    <hyperlink xmlns:r="http://schemas.openxmlformats.org/officeDocument/2006/relationships" ref="G46" r:id="rId84"/>
    <hyperlink xmlns:r="http://schemas.openxmlformats.org/officeDocument/2006/relationships" ref="F47" r:id="rId85"/>
    <hyperlink xmlns:r="http://schemas.openxmlformats.org/officeDocument/2006/relationships" ref="G47" r:id="rId86"/>
    <hyperlink xmlns:r="http://schemas.openxmlformats.org/officeDocument/2006/relationships" ref="F48" r:id="rId87"/>
    <hyperlink xmlns:r="http://schemas.openxmlformats.org/officeDocument/2006/relationships" ref="G48" r:id="rId88"/>
    <hyperlink xmlns:r="http://schemas.openxmlformats.org/officeDocument/2006/relationships" ref="F49" r:id="rId89"/>
    <hyperlink xmlns:r="http://schemas.openxmlformats.org/officeDocument/2006/relationships" ref="G49" r:id="rId90"/>
    <hyperlink xmlns:r="http://schemas.openxmlformats.org/officeDocument/2006/relationships" ref="F50" r:id="rId91"/>
    <hyperlink xmlns:r="http://schemas.openxmlformats.org/officeDocument/2006/relationships" ref="G50" r:id="rId92"/>
    <hyperlink xmlns:r="http://schemas.openxmlformats.org/officeDocument/2006/relationships" ref="F51" r:id="rId93"/>
    <hyperlink xmlns:r="http://schemas.openxmlformats.org/officeDocument/2006/relationships" ref="G51" r:id="rId94"/>
    <hyperlink xmlns:r="http://schemas.openxmlformats.org/officeDocument/2006/relationships" ref="F52" r:id="rId95"/>
    <hyperlink xmlns:r="http://schemas.openxmlformats.org/officeDocument/2006/relationships" ref="G52" r:id="rId96"/>
    <hyperlink xmlns:r="http://schemas.openxmlformats.org/officeDocument/2006/relationships" ref="F53" r:id="rId97"/>
    <hyperlink xmlns:r="http://schemas.openxmlformats.org/officeDocument/2006/relationships" ref="G53" r:id="rId98"/>
    <hyperlink xmlns:r="http://schemas.openxmlformats.org/officeDocument/2006/relationships" ref="F54" r:id="rId99"/>
    <hyperlink xmlns:r="http://schemas.openxmlformats.org/officeDocument/2006/relationships" ref="G54" r:id="rId10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06"/>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5" customWidth="1" min="1" max="1"/>
    <col width="14" customWidth="1" min="2" max="2"/>
    <col width="14" customWidth="1" min="3" max="3"/>
    <col width="18" customWidth="1" min="4" max="4"/>
    <col width="22" customWidth="1" min="5" max="5"/>
    <col width="28" customWidth="1" min="6" max="6"/>
    <col width="28" customWidth="1" min="7" max="7"/>
    <col width="14" customWidth="1" min="8" max="8"/>
    <col width="36" customWidth="1" min="9" max="9"/>
    <col width="12" customWidth="1" min="10" max="10"/>
    <col width="14" customWidth="1" min="11" max="11"/>
    <col width="16" customWidth="1" min="12" max="12"/>
    <col width="10" customWidth="1" min="13" max="13"/>
    <col width="10" customWidth="1" min="14" max="14"/>
    <col width="16" customWidth="1" min="15" max="15"/>
    <col width="14" customWidth="1" min="16" max="16"/>
    <col width="24" customWidth="1" min="17" max="17"/>
  </cols>
  <sheetData>
    <row r="1">
      <c r="A1" s="3" t="inlineStr">
        <is>
          <t>Total contacts</t>
        </is>
      </c>
      <c r="B1" s="4">
        <f>COUNTA(B6:B106)</f>
        <v/>
      </c>
      <c r="D1" s="3" t="inlineStr">
        <is>
          <t>Reply rate</t>
        </is>
      </c>
      <c r="E1" s="21">
        <f>IF(B3=0,"",B4/B3)</f>
        <v/>
      </c>
    </row>
    <row r="3">
      <c r="A3" s="3" t="inlineStr">
        <is>
          <t>Emails sent</t>
        </is>
      </c>
      <c r="B3" s="4">
        <f>COUNTA(K6:K106)</f>
        <v/>
      </c>
    </row>
    <row r="4">
      <c r="A4" s="3" t="inlineStr">
        <is>
          <t>Replies</t>
        </is>
      </c>
      <c r="B4" s="4">
        <f>COUNTIF(N6:N106,"Yes")</f>
        <v/>
      </c>
    </row>
    <row r="5">
      <c r="A5" s="5" t="inlineStr">
        <is>
          <t>#</t>
        </is>
      </c>
      <c r="B5" s="5" t="inlineStr">
        <is>
          <t>First Name</t>
        </is>
      </c>
      <c r="C5" s="5" t="inlineStr">
        <is>
          <t>Last Name</t>
        </is>
      </c>
      <c r="D5" s="5" t="inlineStr">
        <is>
          <t>Company</t>
        </is>
      </c>
      <c r="E5" s="5" t="inlineStr">
        <is>
          <t>Role/Title</t>
        </is>
      </c>
      <c r="F5" s="5" t="inlineStr">
        <is>
          <t>LinkedIn URL</t>
        </is>
      </c>
      <c r="G5" s="5" t="inlineStr">
        <is>
          <t>Email</t>
        </is>
      </c>
      <c r="H5" s="5" t="inlineStr">
        <is>
          <t>Email Source</t>
        </is>
      </c>
      <c r="I5" s="5" t="inlineStr">
        <is>
          <t>Hook</t>
        </is>
      </c>
      <c r="J5" s="5" t="inlineStr">
        <is>
          <t>Status</t>
        </is>
      </c>
      <c r="K5" s="5" t="inlineStr">
        <is>
          <t>Date Sent</t>
        </is>
      </c>
      <c r="L5" s="5" t="inlineStr">
        <is>
          <t>Days Since Sent</t>
        </is>
      </c>
      <c r="M5" s="5" t="inlineStr">
        <is>
          <t>Opened?</t>
        </is>
      </c>
      <c r="N5" s="5" t="inlineStr">
        <is>
          <t>Replied?</t>
        </is>
      </c>
      <c r="O5" s="5" t="inlineStr">
        <is>
          <t>Follow-up Sent?</t>
        </is>
      </c>
      <c r="P5" s="5" t="inlineStr">
        <is>
          <t>Outcome</t>
        </is>
      </c>
      <c r="Q5" s="5" t="inlineStr">
        <is>
          <t>Notes</t>
        </is>
      </c>
    </row>
    <row r="6">
      <c r="A6" s="22" t="n">
        <v>1</v>
      </c>
      <c r="B6" s="22" t="inlineStr">
        <is>
          <t>Priya</t>
        </is>
      </c>
      <c r="C6" s="22" t="inlineStr">
        <is>
          <t>Sharma</t>
        </is>
      </c>
      <c r="D6" s="22" t="inlineStr">
        <is>
          <t>Razorpay</t>
        </is>
      </c>
      <c r="E6" s="22" t="inlineStr">
        <is>
          <t>Senior Talent Acquisition Partner</t>
        </is>
      </c>
      <c r="F6" s="23" t="inlineStr">
        <is>
          <t>LinkedIn profile</t>
        </is>
      </c>
      <c r="G6" s="22" t="inlineStr">
        <is>
          <t>priya.sharma@example.com</t>
        </is>
      </c>
      <c r="H6" s="22" t="inlineStr">
        <is>
          <t>Hunter.io</t>
        </is>
      </c>
      <c r="I6" s="22" t="inlineStr">
        <is>
          <t>Razorpay's payments stack at UPI scale is exactly the kind of fintech product work I want to grow into.</t>
        </is>
      </c>
      <c r="J6" s="22" t="inlineStr">
        <is>
          <t>Sent</t>
        </is>
      </c>
      <c r="K6" s="24" t="n">
        <v>46159</v>
      </c>
      <c r="L6" s="22">
        <f>IF(K6="","",TODAY()-K6)</f>
        <v/>
      </c>
      <c r="M6" s="22" t="inlineStr">
        <is>
          <t>No</t>
        </is>
      </c>
      <c r="N6" s="22" t="inlineStr">
        <is>
          <t>No</t>
        </is>
      </c>
      <c r="O6" s="22" t="inlineStr">
        <is>
          <t>No</t>
        </is>
      </c>
      <c r="P6" s="22" t="inlineStr">
        <is>
          <t>Pending</t>
        </is>
      </c>
      <c r="Q6" s="22" t="inlineStr">
        <is>
          <t>Sample row — delete or overwrite when logging real contacts.</t>
        </is>
      </c>
    </row>
    <row r="7">
      <c r="A7" s="25" t="n">
        <v>1</v>
      </c>
      <c r="B7" s="26" t="n"/>
      <c r="C7" s="26" t="n"/>
      <c r="D7" s="26" t="n"/>
      <c r="E7" s="27" t="n"/>
      <c r="F7" s="26" t="n"/>
      <c r="G7" s="26" t="n"/>
      <c r="H7" s="26" t="n"/>
      <c r="I7" s="27" t="n"/>
      <c r="J7" s="26" t="n"/>
      <c r="K7" s="28" t="n"/>
      <c r="L7" s="29">
        <f>IF(K7="","",TODAY()-K7)</f>
        <v/>
      </c>
      <c r="M7" s="26" t="n"/>
      <c r="N7" s="26" t="n"/>
      <c r="O7" s="26" t="n"/>
      <c r="P7" s="26" t="n"/>
      <c r="Q7" s="27" t="n"/>
    </row>
    <row r="8">
      <c r="A8" s="25" t="n">
        <v>2</v>
      </c>
      <c r="B8" s="26" t="n"/>
      <c r="C8" s="26" t="n"/>
      <c r="D8" s="26" t="n"/>
      <c r="E8" s="27" t="n"/>
      <c r="F8" s="26" t="n"/>
      <c r="G8" s="26" t="n"/>
      <c r="H8" s="26" t="n"/>
      <c r="I8" s="27" t="n"/>
      <c r="J8" s="26" t="n"/>
      <c r="K8" s="28" t="n"/>
      <c r="L8" s="29">
        <f>IF(K8="","",TODAY()-K8)</f>
        <v/>
      </c>
      <c r="M8" s="26" t="n"/>
      <c r="N8" s="26" t="n"/>
      <c r="O8" s="26" t="n"/>
      <c r="P8" s="26" t="n"/>
      <c r="Q8" s="27" t="n"/>
    </row>
    <row r="9">
      <c r="A9" s="25" t="n">
        <v>3</v>
      </c>
      <c r="B9" s="26" t="n"/>
      <c r="C9" s="26" t="n"/>
      <c r="D9" s="26" t="n"/>
      <c r="E9" s="27" t="n"/>
      <c r="F9" s="26" t="n"/>
      <c r="G9" s="26" t="n"/>
      <c r="H9" s="26" t="n"/>
      <c r="I9" s="27" t="n"/>
      <c r="J9" s="26" t="n"/>
      <c r="K9" s="28" t="n"/>
      <c r="L9" s="29">
        <f>IF(K9="","",TODAY()-K9)</f>
        <v/>
      </c>
      <c r="M9" s="26" t="n"/>
      <c r="N9" s="26" t="n"/>
      <c r="O9" s="26" t="n"/>
      <c r="P9" s="26" t="n"/>
      <c r="Q9" s="27" t="n"/>
    </row>
    <row r="10">
      <c r="A10" s="25" t="n">
        <v>4</v>
      </c>
      <c r="B10" s="26" t="n"/>
      <c r="C10" s="26" t="n"/>
      <c r="D10" s="26" t="n"/>
      <c r="E10" s="27" t="n"/>
      <c r="F10" s="26" t="n"/>
      <c r="G10" s="26" t="n"/>
      <c r="H10" s="26" t="n"/>
      <c r="I10" s="27" t="n"/>
      <c r="J10" s="26" t="n"/>
      <c r="K10" s="28" t="n"/>
      <c r="L10" s="29">
        <f>IF(K10="","",TODAY()-K10)</f>
        <v/>
      </c>
      <c r="M10" s="26" t="n"/>
      <c r="N10" s="26" t="n"/>
      <c r="O10" s="26" t="n"/>
      <c r="P10" s="26" t="n"/>
      <c r="Q10" s="27" t="n"/>
    </row>
    <row r="11">
      <c r="A11" s="25" t="n">
        <v>5</v>
      </c>
      <c r="B11" s="26" t="n"/>
      <c r="C11" s="26" t="n"/>
      <c r="D11" s="26" t="n"/>
      <c r="E11" s="27" t="n"/>
      <c r="F11" s="26" t="n"/>
      <c r="G11" s="26" t="n"/>
      <c r="H11" s="26" t="n"/>
      <c r="I11" s="27" t="n"/>
      <c r="J11" s="26" t="n"/>
      <c r="K11" s="28" t="n"/>
      <c r="L11" s="29">
        <f>IF(K11="","",TODAY()-K11)</f>
        <v/>
      </c>
      <c r="M11" s="26" t="n"/>
      <c r="N11" s="26" t="n"/>
      <c r="O11" s="26" t="n"/>
      <c r="P11" s="26" t="n"/>
      <c r="Q11" s="27" t="n"/>
    </row>
    <row r="12">
      <c r="A12" s="25" t="n">
        <v>6</v>
      </c>
      <c r="B12" s="26" t="n"/>
      <c r="C12" s="26" t="n"/>
      <c r="D12" s="26" t="n"/>
      <c r="E12" s="27" t="n"/>
      <c r="F12" s="26" t="n"/>
      <c r="G12" s="26" t="n"/>
      <c r="H12" s="26" t="n"/>
      <c r="I12" s="27" t="n"/>
      <c r="J12" s="26" t="n"/>
      <c r="K12" s="28" t="n"/>
      <c r="L12" s="29">
        <f>IF(K12="","",TODAY()-K12)</f>
        <v/>
      </c>
      <c r="M12" s="26" t="n"/>
      <c r="N12" s="26" t="n"/>
      <c r="O12" s="26" t="n"/>
      <c r="P12" s="26" t="n"/>
      <c r="Q12" s="27" t="n"/>
    </row>
    <row r="13">
      <c r="A13" s="25" t="n">
        <v>7</v>
      </c>
      <c r="B13" s="26" t="n"/>
      <c r="C13" s="26" t="n"/>
      <c r="D13" s="26" t="n"/>
      <c r="E13" s="27" t="n"/>
      <c r="F13" s="26" t="n"/>
      <c r="G13" s="26" t="n"/>
      <c r="H13" s="26" t="n"/>
      <c r="I13" s="27" t="n"/>
      <c r="J13" s="26" t="n"/>
      <c r="K13" s="28" t="n"/>
      <c r="L13" s="29">
        <f>IF(K13="","",TODAY()-K13)</f>
        <v/>
      </c>
      <c r="M13" s="26" t="n"/>
      <c r="N13" s="26" t="n"/>
      <c r="O13" s="26" t="n"/>
      <c r="P13" s="26" t="n"/>
      <c r="Q13" s="27" t="n"/>
    </row>
    <row r="14">
      <c r="A14" s="25" t="n">
        <v>8</v>
      </c>
      <c r="B14" s="26" t="n"/>
      <c r="C14" s="26" t="n"/>
      <c r="D14" s="26" t="n"/>
      <c r="E14" s="27" t="n"/>
      <c r="F14" s="26" t="n"/>
      <c r="G14" s="26" t="n"/>
      <c r="H14" s="26" t="n"/>
      <c r="I14" s="27" t="n"/>
      <c r="J14" s="26" t="n"/>
      <c r="K14" s="28" t="n"/>
      <c r="L14" s="29">
        <f>IF(K14="","",TODAY()-K14)</f>
        <v/>
      </c>
      <c r="M14" s="26" t="n"/>
      <c r="N14" s="26" t="n"/>
      <c r="O14" s="26" t="n"/>
      <c r="P14" s="26" t="n"/>
      <c r="Q14" s="27" t="n"/>
    </row>
    <row r="15">
      <c r="A15" s="25" t="n">
        <v>9</v>
      </c>
      <c r="B15" s="26" t="n"/>
      <c r="C15" s="26" t="n"/>
      <c r="D15" s="26" t="n"/>
      <c r="E15" s="27" t="n"/>
      <c r="F15" s="26" t="n"/>
      <c r="G15" s="26" t="n"/>
      <c r="H15" s="26" t="n"/>
      <c r="I15" s="27" t="n"/>
      <c r="J15" s="26" t="n"/>
      <c r="K15" s="28" t="n"/>
      <c r="L15" s="29">
        <f>IF(K15="","",TODAY()-K15)</f>
        <v/>
      </c>
      <c r="M15" s="26" t="n"/>
      <c r="N15" s="26" t="n"/>
      <c r="O15" s="26" t="n"/>
      <c r="P15" s="26" t="n"/>
      <c r="Q15" s="27" t="n"/>
    </row>
    <row r="16">
      <c r="A16" s="25" t="n">
        <v>10</v>
      </c>
      <c r="B16" s="26" t="n"/>
      <c r="C16" s="26" t="n"/>
      <c r="D16" s="26" t="n"/>
      <c r="E16" s="27" t="n"/>
      <c r="F16" s="26" t="n"/>
      <c r="G16" s="26" t="n"/>
      <c r="H16" s="26" t="n"/>
      <c r="I16" s="27" t="n"/>
      <c r="J16" s="26" t="n"/>
      <c r="K16" s="28" t="n"/>
      <c r="L16" s="29">
        <f>IF(K16="","",TODAY()-K16)</f>
        <v/>
      </c>
      <c r="M16" s="26" t="n"/>
      <c r="N16" s="26" t="n"/>
      <c r="O16" s="26" t="n"/>
      <c r="P16" s="26" t="n"/>
      <c r="Q16" s="27" t="n"/>
    </row>
    <row r="17">
      <c r="A17" s="25" t="n">
        <v>11</v>
      </c>
      <c r="B17" s="26" t="n"/>
      <c r="C17" s="26" t="n"/>
      <c r="D17" s="26" t="n"/>
      <c r="E17" s="27" t="n"/>
      <c r="F17" s="26" t="n"/>
      <c r="G17" s="26" t="n"/>
      <c r="H17" s="26" t="n"/>
      <c r="I17" s="27" t="n"/>
      <c r="J17" s="26" t="n"/>
      <c r="K17" s="28" t="n"/>
      <c r="L17" s="29">
        <f>IF(K17="","",TODAY()-K17)</f>
        <v/>
      </c>
      <c r="M17" s="26" t="n"/>
      <c r="N17" s="26" t="n"/>
      <c r="O17" s="26" t="n"/>
      <c r="P17" s="26" t="n"/>
      <c r="Q17" s="27" t="n"/>
    </row>
    <row r="18">
      <c r="A18" s="25" t="n">
        <v>12</v>
      </c>
      <c r="B18" s="26" t="n"/>
      <c r="C18" s="26" t="n"/>
      <c r="D18" s="26" t="n"/>
      <c r="E18" s="27" t="n"/>
      <c r="F18" s="26" t="n"/>
      <c r="G18" s="26" t="n"/>
      <c r="H18" s="26" t="n"/>
      <c r="I18" s="27" t="n"/>
      <c r="J18" s="26" t="n"/>
      <c r="K18" s="28" t="n"/>
      <c r="L18" s="29">
        <f>IF(K18="","",TODAY()-K18)</f>
        <v/>
      </c>
      <c r="M18" s="26" t="n"/>
      <c r="N18" s="26" t="n"/>
      <c r="O18" s="26" t="n"/>
      <c r="P18" s="26" t="n"/>
      <c r="Q18" s="27" t="n"/>
    </row>
    <row r="19">
      <c r="A19" s="25" t="n">
        <v>13</v>
      </c>
      <c r="B19" s="26" t="n"/>
      <c r="C19" s="26" t="n"/>
      <c r="D19" s="26" t="n"/>
      <c r="E19" s="27" t="n"/>
      <c r="F19" s="26" t="n"/>
      <c r="G19" s="26" t="n"/>
      <c r="H19" s="26" t="n"/>
      <c r="I19" s="27" t="n"/>
      <c r="J19" s="26" t="n"/>
      <c r="K19" s="28" t="n"/>
      <c r="L19" s="29">
        <f>IF(K19="","",TODAY()-K19)</f>
        <v/>
      </c>
      <c r="M19" s="26" t="n"/>
      <c r="N19" s="26" t="n"/>
      <c r="O19" s="26" t="n"/>
      <c r="P19" s="26" t="n"/>
      <c r="Q19" s="27" t="n"/>
    </row>
    <row r="20">
      <c r="A20" s="25" t="n">
        <v>14</v>
      </c>
      <c r="B20" s="26" t="n"/>
      <c r="C20" s="26" t="n"/>
      <c r="D20" s="26" t="n"/>
      <c r="E20" s="27" t="n"/>
      <c r="F20" s="26" t="n"/>
      <c r="G20" s="26" t="n"/>
      <c r="H20" s="26" t="n"/>
      <c r="I20" s="27" t="n"/>
      <c r="J20" s="26" t="n"/>
      <c r="K20" s="28" t="n"/>
      <c r="L20" s="29">
        <f>IF(K20="","",TODAY()-K20)</f>
        <v/>
      </c>
      <c r="M20" s="26" t="n"/>
      <c r="N20" s="26" t="n"/>
      <c r="O20" s="26" t="n"/>
      <c r="P20" s="26" t="n"/>
      <c r="Q20" s="27" t="n"/>
    </row>
    <row r="21">
      <c r="A21" s="25" t="n">
        <v>15</v>
      </c>
      <c r="B21" s="26" t="n"/>
      <c r="C21" s="26" t="n"/>
      <c r="D21" s="26" t="n"/>
      <c r="E21" s="27" t="n"/>
      <c r="F21" s="26" t="n"/>
      <c r="G21" s="26" t="n"/>
      <c r="H21" s="26" t="n"/>
      <c r="I21" s="27" t="n"/>
      <c r="J21" s="26" t="n"/>
      <c r="K21" s="28" t="n"/>
      <c r="L21" s="29">
        <f>IF(K21="","",TODAY()-K21)</f>
        <v/>
      </c>
      <c r="M21" s="26" t="n"/>
      <c r="N21" s="26" t="n"/>
      <c r="O21" s="26" t="n"/>
      <c r="P21" s="26" t="n"/>
      <c r="Q21" s="27" t="n"/>
    </row>
    <row r="22">
      <c r="A22" s="25" t="n">
        <v>16</v>
      </c>
      <c r="B22" s="26" t="n"/>
      <c r="C22" s="26" t="n"/>
      <c r="D22" s="26" t="n"/>
      <c r="E22" s="27" t="n"/>
      <c r="F22" s="26" t="n"/>
      <c r="G22" s="26" t="n"/>
      <c r="H22" s="26" t="n"/>
      <c r="I22" s="27" t="n"/>
      <c r="J22" s="26" t="n"/>
      <c r="K22" s="28" t="n"/>
      <c r="L22" s="29">
        <f>IF(K22="","",TODAY()-K22)</f>
        <v/>
      </c>
      <c r="M22" s="26" t="n"/>
      <c r="N22" s="26" t="n"/>
      <c r="O22" s="26" t="n"/>
      <c r="P22" s="26" t="n"/>
      <c r="Q22" s="27" t="n"/>
    </row>
    <row r="23">
      <c r="A23" s="25" t="n">
        <v>17</v>
      </c>
      <c r="B23" s="26" t="n"/>
      <c r="C23" s="26" t="n"/>
      <c r="D23" s="26" t="n"/>
      <c r="E23" s="27" t="n"/>
      <c r="F23" s="26" t="n"/>
      <c r="G23" s="26" t="n"/>
      <c r="H23" s="26" t="n"/>
      <c r="I23" s="27" t="n"/>
      <c r="J23" s="26" t="n"/>
      <c r="K23" s="28" t="n"/>
      <c r="L23" s="29">
        <f>IF(K23="","",TODAY()-K23)</f>
        <v/>
      </c>
      <c r="M23" s="26" t="n"/>
      <c r="N23" s="26" t="n"/>
      <c r="O23" s="26" t="n"/>
      <c r="P23" s="26" t="n"/>
      <c r="Q23" s="27" t="n"/>
    </row>
    <row r="24">
      <c r="A24" s="25" t="n">
        <v>18</v>
      </c>
      <c r="B24" s="26" t="n"/>
      <c r="C24" s="26" t="n"/>
      <c r="D24" s="26" t="n"/>
      <c r="E24" s="27" t="n"/>
      <c r="F24" s="26" t="n"/>
      <c r="G24" s="26" t="n"/>
      <c r="H24" s="26" t="n"/>
      <c r="I24" s="27" t="n"/>
      <c r="J24" s="26" t="n"/>
      <c r="K24" s="28" t="n"/>
      <c r="L24" s="29">
        <f>IF(K24="","",TODAY()-K24)</f>
        <v/>
      </c>
      <c r="M24" s="26" t="n"/>
      <c r="N24" s="26" t="n"/>
      <c r="O24" s="26" t="n"/>
      <c r="P24" s="26" t="n"/>
      <c r="Q24" s="27" t="n"/>
    </row>
    <row r="25">
      <c r="A25" s="25" t="n">
        <v>19</v>
      </c>
      <c r="B25" s="26" t="n"/>
      <c r="C25" s="26" t="n"/>
      <c r="D25" s="26" t="n"/>
      <c r="E25" s="27" t="n"/>
      <c r="F25" s="26" t="n"/>
      <c r="G25" s="26" t="n"/>
      <c r="H25" s="26" t="n"/>
      <c r="I25" s="27" t="n"/>
      <c r="J25" s="26" t="n"/>
      <c r="K25" s="28" t="n"/>
      <c r="L25" s="29">
        <f>IF(K25="","",TODAY()-K25)</f>
        <v/>
      </c>
      <c r="M25" s="26" t="n"/>
      <c r="N25" s="26" t="n"/>
      <c r="O25" s="26" t="n"/>
      <c r="P25" s="26" t="n"/>
      <c r="Q25" s="27" t="n"/>
    </row>
    <row r="26">
      <c r="A26" s="25" t="n">
        <v>20</v>
      </c>
      <c r="B26" s="26" t="n"/>
      <c r="C26" s="26" t="n"/>
      <c r="D26" s="26" t="n"/>
      <c r="E26" s="27" t="n"/>
      <c r="F26" s="26" t="n"/>
      <c r="G26" s="26" t="n"/>
      <c r="H26" s="26" t="n"/>
      <c r="I26" s="27" t="n"/>
      <c r="J26" s="26" t="n"/>
      <c r="K26" s="28" t="n"/>
      <c r="L26" s="29">
        <f>IF(K26="","",TODAY()-K26)</f>
        <v/>
      </c>
      <c r="M26" s="26" t="n"/>
      <c r="N26" s="26" t="n"/>
      <c r="O26" s="26" t="n"/>
      <c r="P26" s="26" t="n"/>
      <c r="Q26" s="27" t="n"/>
    </row>
    <row r="27">
      <c r="A27" s="25" t="n">
        <v>21</v>
      </c>
      <c r="B27" s="26" t="n"/>
      <c r="C27" s="26" t="n"/>
      <c r="D27" s="26" t="n"/>
      <c r="E27" s="27" t="n"/>
      <c r="F27" s="26" t="n"/>
      <c r="G27" s="26" t="n"/>
      <c r="H27" s="26" t="n"/>
      <c r="I27" s="27" t="n"/>
      <c r="J27" s="26" t="n"/>
      <c r="K27" s="28" t="n"/>
      <c r="L27" s="29">
        <f>IF(K27="","",TODAY()-K27)</f>
        <v/>
      </c>
      <c r="M27" s="26" t="n"/>
      <c r="N27" s="26" t="n"/>
      <c r="O27" s="26" t="n"/>
      <c r="P27" s="26" t="n"/>
      <c r="Q27" s="27" t="n"/>
    </row>
    <row r="28">
      <c r="A28" s="25" t="n">
        <v>22</v>
      </c>
      <c r="B28" s="26" t="n"/>
      <c r="C28" s="26" t="n"/>
      <c r="D28" s="26" t="n"/>
      <c r="E28" s="27" t="n"/>
      <c r="F28" s="26" t="n"/>
      <c r="G28" s="26" t="n"/>
      <c r="H28" s="26" t="n"/>
      <c r="I28" s="27" t="n"/>
      <c r="J28" s="26" t="n"/>
      <c r="K28" s="28" t="n"/>
      <c r="L28" s="29">
        <f>IF(K28="","",TODAY()-K28)</f>
        <v/>
      </c>
      <c r="M28" s="26" t="n"/>
      <c r="N28" s="26" t="n"/>
      <c r="O28" s="26" t="n"/>
      <c r="P28" s="26" t="n"/>
      <c r="Q28" s="27" t="n"/>
    </row>
    <row r="29">
      <c r="A29" s="25" t="n">
        <v>23</v>
      </c>
      <c r="B29" s="26" t="n"/>
      <c r="C29" s="26" t="n"/>
      <c r="D29" s="26" t="n"/>
      <c r="E29" s="27" t="n"/>
      <c r="F29" s="26" t="n"/>
      <c r="G29" s="26" t="n"/>
      <c r="H29" s="26" t="n"/>
      <c r="I29" s="27" t="n"/>
      <c r="J29" s="26" t="n"/>
      <c r="K29" s="28" t="n"/>
      <c r="L29" s="29">
        <f>IF(K29="","",TODAY()-K29)</f>
        <v/>
      </c>
      <c r="M29" s="26" t="n"/>
      <c r="N29" s="26" t="n"/>
      <c r="O29" s="26" t="n"/>
      <c r="P29" s="26" t="n"/>
      <c r="Q29" s="27" t="n"/>
    </row>
    <row r="30">
      <c r="A30" s="25" t="n">
        <v>24</v>
      </c>
      <c r="B30" s="26" t="n"/>
      <c r="C30" s="26" t="n"/>
      <c r="D30" s="26" t="n"/>
      <c r="E30" s="27" t="n"/>
      <c r="F30" s="26" t="n"/>
      <c r="G30" s="26" t="n"/>
      <c r="H30" s="26" t="n"/>
      <c r="I30" s="27" t="n"/>
      <c r="J30" s="26" t="n"/>
      <c r="K30" s="28" t="n"/>
      <c r="L30" s="29">
        <f>IF(K30="","",TODAY()-K30)</f>
        <v/>
      </c>
      <c r="M30" s="26" t="n"/>
      <c r="N30" s="26" t="n"/>
      <c r="O30" s="26" t="n"/>
      <c r="P30" s="26" t="n"/>
      <c r="Q30" s="27" t="n"/>
    </row>
    <row r="31">
      <c r="A31" s="25" t="n">
        <v>25</v>
      </c>
      <c r="B31" s="26" t="n"/>
      <c r="C31" s="26" t="n"/>
      <c r="D31" s="26" t="n"/>
      <c r="E31" s="27" t="n"/>
      <c r="F31" s="26" t="n"/>
      <c r="G31" s="26" t="n"/>
      <c r="H31" s="26" t="n"/>
      <c r="I31" s="27" t="n"/>
      <c r="J31" s="26" t="n"/>
      <c r="K31" s="28" t="n"/>
      <c r="L31" s="29">
        <f>IF(K31="","",TODAY()-K31)</f>
        <v/>
      </c>
      <c r="M31" s="26" t="n"/>
      <c r="N31" s="26" t="n"/>
      <c r="O31" s="26" t="n"/>
      <c r="P31" s="26" t="n"/>
      <c r="Q31" s="27" t="n"/>
    </row>
    <row r="32">
      <c r="A32" s="25" t="n">
        <v>26</v>
      </c>
      <c r="B32" s="26" t="n"/>
      <c r="C32" s="26" t="n"/>
      <c r="D32" s="26" t="n"/>
      <c r="E32" s="27" t="n"/>
      <c r="F32" s="26" t="n"/>
      <c r="G32" s="26" t="n"/>
      <c r="H32" s="26" t="n"/>
      <c r="I32" s="27" t="n"/>
      <c r="J32" s="26" t="n"/>
      <c r="K32" s="28" t="n"/>
      <c r="L32" s="29">
        <f>IF(K32="","",TODAY()-K32)</f>
        <v/>
      </c>
      <c r="M32" s="26" t="n"/>
      <c r="N32" s="26" t="n"/>
      <c r="O32" s="26" t="n"/>
      <c r="P32" s="26" t="n"/>
      <c r="Q32" s="27" t="n"/>
    </row>
    <row r="33">
      <c r="A33" s="25" t="n">
        <v>27</v>
      </c>
      <c r="B33" s="26" t="n"/>
      <c r="C33" s="26" t="n"/>
      <c r="D33" s="26" t="n"/>
      <c r="E33" s="27" t="n"/>
      <c r="F33" s="26" t="n"/>
      <c r="G33" s="26" t="n"/>
      <c r="H33" s="26" t="n"/>
      <c r="I33" s="27" t="n"/>
      <c r="J33" s="26" t="n"/>
      <c r="K33" s="28" t="n"/>
      <c r="L33" s="29">
        <f>IF(K33="","",TODAY()-K33)</f>
        <v/>
      </c>
      <c r="M33" s="26" t="n"/>
      <c r="N33" s="26" t="n"/>
      <c r="O33" s="26" t="n"/>
      <c r="P33" s="26" t="n"/>
      <c r="Q33" s="27" t="n"/>
    </row>
    <row r="34">
      <c r="A34" s="25" t="n">
        <v>28</v>
      </c>
      <c r="B34" s="26" t="n"/>
      <c r="C34" s="26" t="n"/>
      <c r="D34" s="26" t="n"/>
      <c r="E34" s="27" t="n"/>
      <c r="F34" s="26" t="n"/>
      <c r="G34" s="26" t="n"/>
      <c r="H34" s="26" t="n"/>
      <c r="I34" s="27" t="n"/>
      <c r="J34" s="26" t="n"/>
      <c r="K34" s="28" t="n"/>
      <c r="L34" s="29">
        <f>IF(K34="","",TODAY()-K34)</f>
        <v/>
      </c>
      <c r="M34" s="26" t="n"/>
      <c r="N34" s="26" t="n"/>
      <c r="O34" s="26" t="n"/>
      <c r="P34" s="26" t="n"/>
      <c r="Q34" s="27" t="n"/>
    </row>
    <row r="35">
      <c r="A35" s="25" t="n">
        <v>29</v>
      </c>
      <c r="B35" s="26" t="n"/>
      <c r="C35" s="26" t="n"/>
      <c r="D35" s="26" t="n"/>
      <c r="E35" s="27" t="n"/>
      <c r="F35" s="26" t="n"/>
      <c r="G35" s="26" t="n"/>
      <c r="H35" s="26" t="n"/>
      <c r="I35" s="27" t="n"/>
      <c r="J35" s="26" t="n"/>
      <c r="K35" s="28" t="n"/>
      <c r="L35" s="29">
        <f>IF(K35="","",TODAY()-K35)</f>
        <v/>
      </c>
      <c r="M35" s="26" t="n"/>
      <c r="N35" s="26" t="n"/>
      <c r="O35" s="26" t="n"/>
      <c r="P35" s="26" t="n"/>
      <c r="Q35" s="27" t="n"/>
    </row>
    <row r="36">
      <c r="A36" s="25" t="n">
        <v>30</v>
      </c>
      <c r="B36" s="26" t="n"/>
      <c r="C36" s="26" t="n"/>
      <c r="D36" s="26" t="n"/>
      <c r="E36" s="27" t="n"/>
      <c r="F36" s="26" t="n"/>
      <c r="G36" s="26" t="n"/>
      <c r="H36" s="26" t="n"/>
      <c r="I36" s="27" t="n"/>
      <c r="J36" s="26" t="n"/>
      <c r="K36" s="28" t="n"/>
      <c r="L36" s="29">
        <f>IF(K36="","",TODAY()-K36)</f>
        <v/>
      </c>
      <c r="M36" s="26" t="n"/>
      <c r="N36" s="26" t="n"/>
      <c r="O36" s="26" t="n"/>
      <c r="P36" s="26" t="n"/>
      <c r="Q36" s="27" t="n"/>
    </row>
    <row r="37">
      <c r="A37" s="25" t="n">
        <v>31</v>
      </c>
      <c r="B37" s="26" t="n"/>
      <c r="C37" s="26" t="n"/>
      <c r="D37" s="26" t="n"/>
      <c r="E37" s="27" t="n"/>
      <c r="F37" s="26" t="n"/>
      <c r="G37" s="26" t="n"/>
      <c r="H37" s="26" t="n"/>
      <c r="I37" s="27" t="n"/>
      <c r="J37" s="26" t="n"/>
      <c r="K37" s="28" t="n"/>
      <c r="L37" s="29">
        <f>IF(K37="","",TODAY()-K37)</f>
        <v/>
      </c>
      <c r="M37" s="26" t="n"/>
      <c r="N37" s="26" t="n"/>
      <c r="O37" s="26" t="n"/>
      <c r="P37" s="26" t="n"/>
      <c r="Q37" s="27" t="n"/>
    </row>
    <row r="38">
      <c r="A38" s="25" t="n">
        <v>32</v>
      </c>
      <c r="B38" s="26" t="n"/>
      <c r="C38" s="26" t="n"/>
      <c r="D38" s="26" t="n"/>
      <c r="E38" s="27" t="n"/>
      <c r="F38" s="26" t="n"/>
      <c r="G38" s="26" t="n"/>
      <c r="H38" s="26" t="n"/>
      <c r="I38" s="27" t="n"/>
      <c r="J38" s="26" t="n"/>
      <c r="K38" s="28" t="n"/>
      <c r="L38" s="29">
        <f>IF(K38="","",TODAY()-K38)</f>
        <v/>
      </c>
      <c r="M38" s="26" t="n"/>
      <c r="N38" s="26" t="n"/>
      <c r="O38" s="26" t="n"/>
      <c r="P38" s="26" t="n"/>
      <c r="Q38" s="27" t="n"/>
    </row>
    <row r="39">
      <c r="A39" s="25" t="n">
        <v>33</v>
      </c>
      <c r="B39" s="26" t="n"/>
      <c r="C39" s="26" t="n"/>
      <c r="D39" s="26" t="n"/>
      <c r="E39" s="27" t="n"/>
      <c r="F39" s="26" t="n"/>
      <c r="G39" s="26" t="n"/>
      <c r="H39" s="26" t="n"/>
      <c r="I39" s="27" t="n"/>
      <c r="J39" s="26" t="n"/>
      <c r="K39" s="28" t="n"/>
      <c r="L39" s="29">
        <f>IF(K39="","",TODAY()-K39)</f>
        <v/>
      </c>
      <c r="M39" s="26" t="n"/>
      <c r="N39" s="26" t="n"/>
      <c r="O39" s="26" t="n"/>
      <c r="P39" s="26" t="n"/>
      <c r="Q39" s="27" t="n"/>
    </row>
    <row r="40">
      <c r="A40" s="25" t="n">
        <v>34</v>
      </c>
      <c r="B40" s="26" t="n"/>
      <c r="C40" s="26" t="n"/>
      <c r="D40" s="26" t="n"/>
      <c r="E40" s="27" t="n"/>
      <c r="F40" s="26" t="n"/>
      <c r="G40" s="26" t="n"/>
      <c r="H40" s="26" t="n"/>
      <c r="I40" s="27" t="n"/>
      <c r="J40" s="26" t="n"/>
      <c r="K40" s="28" t="n"/>
      <c r="L40" s="29">
        <f>IF(K40="","",TODAY()-K40)</f>
        <v/>
      </c>
      <c r="M40" s="26" t="n"/>
      <c r="N40" s="26" t="n"/>
      <c r="O40" s="26" t="n"/>
      <c r="P40" s="26" t="n"/>
      <c r="Q40" s="27" t="n"/>
    </row>
    <row r="41">
      <c r="A41" s="25" t="n">
        <v>35</v>
      </c>
      <c r="B41" s="26" t="n"/>
      <c r="C41" s="26" t="n"/>
      <c r="D41" s="26" t="n"/>
      <c r="E41" s="27" t="n"/>
      <c r="F41" s="26" t="n"/>
      <c r="G41" s="26" t="n"/>
      <c r="H41" s="26" t="n"/>
      <c r="I41" s="27" t="n"/>
      <c r="J41" s="26" t="n"/>
      <c r="K41" s="28" t="n"/>
      <c r="L41" s="29">
        <f>IF(K41="","",TODAY()-K41)</f>
        <v/>
      </c>
      <c r="M41" s="26" t="n"/>
      <c r="N41" s="26" t="n"/>
      <c r="O41" s="26" t="n"/>
      <c r="P41" s="26" t="n"/>
      <c r="Q41" s="27" t="n"/>
    </row>
    <row r="42">
      <c r="A42" s="25" t="n">
        <v>36</v>
      </c>
      <c r="B42" s="26" t="n"/>
      <c r="C42" s="26" t="n"/>
      <c r="D42" s="26" t="n"/>
      <c r="E42" s="27" t="n"/>
      <c r="F42" s="26" t="n"/>
      <c r="G42" s="26" t="n"/>
      <c r="H42" s="26" t="n"/>
      <c r="I42" s="27" t="n"/>
      <c r="J42" s="26" t="n"/>
      <c r="K42" s="28" t="n"/>
      <c r="L42" s="29">
        <f>IF(K42="","",TODAY()-K42)</f>
        <v/>
      </c>
      <c r="M42" s="26" t="n"/>
      <c r="N42" s="26" t="n"/>
      <c r="O42" s="26" t="n"/>
      <c r="P42" s="26" t="n"/>
      <c r="Q42" s="27" t="n"/>
    </row>
    <row r="43">
      <c r="A43" s="25" t="n">
        <v>37</v>
      </c>
      <c r="B43" s="26" t="n"/>
      <c r="C43" s="26" t="n"/>
      <c r="D43" s="26" t="n"/>
      <c r="E43" s="27" t="n"/>
      <c r="F43" s="26" t="n"/>
      <c r="G43" s="26" t="n"/>
      <c r="H43" s="26" t="n"/>
      <c r="I43" s="27" t="n"/>
      <c r="J43" s="26" t="n"/>
      <c r="K43" s="28" t="n"/>
      <c r="L43" s="29">
        <f>IF(K43="","",TODAY()-K43)</f>
        <v/>
      </c>
      <c r="M43" s="26" t="n"/>
      <c r="N43" s="26" t="n"/>
      <c r="O43" s="26" t="n"/>
      <c r="P43" s="26" t="n"/>
      <c r="Q43" s="27" t="n"/>
    </row>
    <row r="44">
      <c r="A44" s="25" t="n">
        <v>38</v>
      </c>
      <c r="B44" s="26" t="n"/>
      <c r="C44" s="26" t="n"/>
      <c r="D44" s="26" t="n"/>
      <c r="E44" s="27" t="n"/>
      <c r="F44" s="26" t="n"/>
      <c r="G44" s="26" t="n"/>
      <c r="H44" s="26" t="n"/>
      <c r="I44" s="27" t="n"/>
      <c r="J44" s="26" t="n"/>
      <c r="K44" s="28" t="n"/>
      <c r="L44" s="29">
        <f>IF(K44="","",TODAY()-K44)</f>
        <v/>
      </c>
      <c r="M44" s="26" t="n"/>
      <c r="N44" s="26" t="n"/>
      <c r="O44" s="26" t="n"/>
      <c r="P44" s="26" t="n"/>
      <c r="Q44" s="27" t="n"/>
    </row>
    <row r="45">
      <c r="A45" s="25" t="n">
        <v>39</v>
      </c>
      <c r="B45" s="26" t="n"/>
      <c r="C45" s="26" t="n"/>
      <c r="D45" s="26" t="n"/>
      <c r="E45" s="27" t="n"/>
      <c r="F45" s="26" t="n"/>
      <c r="G45" s="26" t="n"/>
      <c r="H45" s="26" t="n"/>
      <c r="I45" s="27" t="n"/>
      <c r="J45" s="26" t="n"/>
      <c r="K45" s="28" t="n"/>
      <c r="L45" s="29">
        <f>IF(K45="","",TODAY()-K45)</f>
        <v/>
      </c>
      <c r="M45" s="26" t="n"/>
      <c r="N45" s="26" t="n"/>
      <c r="O45" s="26" t="n"/>
      <c r="P45" s="26" t="n"/>
      <c r="Q45" s="27" t="n"/>
    </row>
    <row r="46">
      <c r="A46" s="25" t="n">
        <v>40</v>
      </c>
      <c r="B46" s="26" t="n"/>
      <c r="C46" s="26" t="n"/>
      <c r="D46" s="26" t="n"/>
      <c r="E46" s="27" t="n"/>
      <c r="F46" s="26" t="n"/>
      <c r="G46" s="26" t="n"/>
      <c r="H46" s="26" t="n"/>
      <c r="I46" s="27" t="n"/>
      <c r="J46" s="26" t="n"/>
      <c r="K46" s="28" t="n"/>
      <c r="L46" s="29">
        <f>IF(K46="","",TODAY()-K46)</f>
        <v/>
      </c>
      <c r="M46" s="26" t="n"/>
      <c r="N46" s="26" t="n"/>
      <c r="O46" s="26" t="n"/>
      <c r="P46" s="26" t="n"/>
      <c r="Q46" s="27" t="n"/>
    </row>
    <row r="47">
      <c r="A47" s="25" t="n">
        <v>41</v>
      </c>
      <c r="B47" s="26" t="n"/>
      <c r="C47" s="26" t="n"/>
      <c r="D47" s="26" t="n"/>
      <c r="E47" s="27" t="n"/>
      <c r="F47" s="26" t="n"/>
      <c r="G47" s="26" t="n"/>
      <c r="H47" s="26" t="n"/>
      <c r="I47" s="27" t="n"/>
      <c r="J47" s="26" t="n"/>
      <c r="K47" s="28" t="n"/>
      <c r="L47" s="29">
        <f>IF(K47="","",TODAY()-K47)</f>
        <v/>
      </c>
      <c r="M47" s="26" t="n"/>
      <c r="N47" s="26" t="n"/>
      <c r="O47" s="26" t="n"/>
      <c r="P47" s="26" t="n"/>
      <c r="Q47" s="27" t="n"/>
    </row>
    <row r="48">
      <c r="A48" s="25" t="n">
        <v>42</v>
      </c>
      <c r="B48" s="26" t="n"/>
      <c r="C48" s="26" t="n"/>
      <c r="D48" s="26" t="n"/>
      <c r="E48" s="27" t="n"/>
      <c r="F48" s="26" t="n"/>
      <c r="G48" s="26" t="n"/>
      <c r="H48" s="26" t="n"/>
      <c r="I48" s="27" t="n"/>
      <c r="J48" s="26" t="n"/>
      <c r="K48" s="28" t="n"/>
      <c r="L48" s="29">
        <f>IF(K48="","",TODAY()-K48)</f>
        <v/>
      </c>
      <c r="M48" s="26" t="n"/>
      <c r="N48" s="26" t="n"/>
      <c r="O48" s="26" t="n"/>
      <c r="P48" s="26" t="n"/>
      <c r="Q48" s="27" t="n"/>
    </row>
    <row r="49">
      <c r="A49" s="25" t="n">
        <v>43</v>
      </c>
      <c r="B49" s="26" t="n"/>
      <c r="C49" s="26" t="n"/>
      <c r="D49" s="26" t="n"/>
      <c r="E49" s="27" t="n"/>
      <c r="F49" s="26" t="n"/>
      <c r="G49" s="26" t="n"/>
      <c r="H49" s="26" t="n"/>
      <c r="I49" s="27" t="n"/>
      <c r="J49" s="26" t="n"/>
      <c r="K49" s="28" t="n"/>
      <c r="L49" s="29">
        <f>IF(K49="","",TODAY()-K49)</f>
        <v/>
      </c>
      <c r="M49" s="26" t="n"/>
      <c r="N49" s="26" t="n"/>
      <c r="O49" s="26" t="n"/>
      <c r="P49" s="26" t="n"/>
      <c r="Q49" s="27" t="n"/>
    </row>
    <row r="50">
      <c r="A50" s="25" t="n">
        <v>44</v>
      </c>
      <c r="B50" s="26" t="n"/>
      <c r="C50" s="26" t="n"/>
      <c r="D50" s="26" t="n"/>
      <c r="E50" s="27" t="n"/>
      <c r="F50" s="26" t="n"/>
      <c r="G50" s="26" t="n"/>
      <c r="H50" s="26" t="n"/>
      <c r="I50" s="27" t="n"/>
      <c r="J50" s="26" t="n"/>
      <c r="K50" s="28" t="n"/>
      <c r="L50" s="29">
        <f>IF(K50="","",TODAY()-K50)</f>
        <v/>
      </c>
      <c r="M50" s="26" t="n"/>
      <c r="N50" s="26" t="n"/>
      <c r="O50" s="26" t="n"/>
      <c r="P50" s="26" t="n"/>
      <c r="Q50" s="27" t="n"/>
    </row>
    <row r="51">
      <c r="A51" s="25" t="n">
        <v>45</v>
      </c>
      <c r="B51" s="26" t="n"/>
      <c r="C51" s="26" t="n"/>
      <c r="D51" s="26" t="n"/>
      <c r="E51" s="27" t="n"/>
      <c r="F51" s="26" t="n"/>
      <c r="G51" s="26" t="n"/>
      <c r="H51" s="26" t="n"/>
      <c r="I51" s="27" t="n"/>
      <c r="J51" s="26" t="n"/>
      <c r="K51" s="28" t="n"/>
      <c r="L51" s="29">
        <f>IF(K51="","",TODAY()-K51)</f>
        <v/>
      </c>
      <c r="M51" s="26" t="n"/>
      <c r="N51" s="26" t="n"/>
      <c r="O51" s="26" t="n"/>
      <c r="P51" s="26" t="n"/>
      <c r="Q51" s="27" t="n"/>
    </row>
    <row r="52">
      <c r="A52" s="25" t="n">
        <v>46</v>
      </c>
      <c r="B52" s="26" t="n"/>
      <c r="C52" s="26" t="n"/>
      <c r="D52" s="26" t="n"/>
      <c r="E52" s="27" t="n"/>
      <c r="F52" s="26" t="n"/>
      <c r="G52" s="26" t="n"/>
      <c r="H52" s="26" t="n"/>
      <c r="I52" s="27" t="n"/>
      <c r="J52" s="26" t="n"/>
      <c r="K52" s="28" t="n"/>
      <c r="L52" s="29">
        <f>IF(K52="","",TODAY()-K52)</f>
        <v/>
      </c>
      <c r="M52" s="26" t="n"/>
      <c r="N52" s="26" t="n"/>
      <c r="O52" s="26" t="n"/>
      <c r="P52" s="26" t="n"/>
      <c r="Q52" s="27" t="n"/>
    </row>
    <row r="53">
      <c r="A53" s="25" t="n">
        <v>47</v>
      </c>
      <c r="B53" s="26" t="n"/>
      <c r="C53" s="26" t="n"/>
      <c r="D53" s="26" t="n"/>
      <c r="E53" s="27" t="n"/>
      <c r="F53" s="26" t="n"/>
      <c r="G53" s="26" t="n"/>
      <c r="H53" s="26" t="n"/>
      <c r="I53" s="27" t="n"/>
      <c r="J53" s="26" t="n"/>
      <c r="K53" s="28" t="n"/>
      <c r="L53" s="29">
        <f>IF(K53="","",TODAY()-K53)</f>
        <v/>
      </c>
      <c r="M53" s="26" t="n"/>
      <c r="N53" s="26" t="n"/>
      <c r="O53" s="26" t="n"/>
      <c r="P53" s="26" t="n"/>
      <c r="Q53" s="27" t="n"/>
    </row>
    <row r="54">
      <c r="A54" s="25" t="n">
        <v>48</v>
      </c>
      <c r="B54" s="26" t="n"/>
      <c r="C54" s="26" t="n"/>
      <c r="D54" s="26" t="n"/>
      <c r="E54" s="27" t="n"/>
      <c r="F54" s="26" t="n"/>
      <c r="G54" s="26" t="n"/>
      <c r="H54" s="26" t="n"/>
      <c r="I54" s="27" t="n"/>
      <c r="J54" s="26" t="n"/>
      <c r="K54" s="28" t="n"/>
      <c r="L54" s="29">
        <f>IF(K54="","",TODAY()-K54)</f>
        <v/>
      </c>
      <c r="M54" s="26" t="n"/>
      <c r="N54" s="26" t="n"/>
      <c r="O54" s="26" t="n"/>
      <c r="P54" s="26" t="n"/>
      <c r="Q54" s="27" t="n"/>
    </row>
    <row r="55">
      <c r="A55" s="25" t="n">
        <v>49</v>
      </c>
      <c r="B55" s="26" t="n"/>
      <c r="C55" s="26" t="n"/>
      <c r="D55" s="26" t="n"/>
      <c r="E55" s="27" t="n"/>
      <c r="F55" s="26" t="n"/>
      <c r="G55" s="26" t="n"/>
      <c r="H55" s="26" t="n"/>
      <c r="I55" s="27" t="n"/>
      <c r="J55" s="26" t="n"/>
      <c r="K55" s="28" t="n"/>
      <c r="L55" s="29">
        <f>IF(K55="","",TODAY()-K55)</f>
        <v/>
      </c>
      <c r="M55" s="26" t="n"/>
      <c r="N55" s="26" t="n"/>
      <c r="O55" s="26" t="n"/>
      <c r="P55" s="26" t="n"/>
      <c r="Q55" s="27" t="n"/>
    </row>
    <row r="56">
      <c r="A56" s="25" t="n">
        <v>50</v>
      </c>
      <c r="B56" s="26" t="n"/>
      <c r="C56" s="26" t="n"/>
      <c r="D56" s="26" t="n"/>
      <c r="E56" s="27" t="n"/>
      <c r="F56" s="26" t="n"/>
      <c r="G56" s="26" t="n"/>
      <c r="H56" s="26" t="n"/>
      <c r="I56" s="27" t="n"/>
      <c r="J56" s="26" t="n"/>
      <c r="K56" s="28" t="n"/>
      <c r="L56" s="29">
        <f>IF(K56="","",TODAY()-K56)</f>
        <v/>
      </c>
      <c r="M56" s="26" t="n"/>
      <c r="N56" s="26" t="n"/>
      <c r="O56" s="26" t="n"/>
      <c r="P56" s="26" t="n"/>
      <c r="Q56" s="27" t="n"/>
    </row>
    <row r="57">
      <c r="A57" s="25" t="n">
        <v>51</v>
      </c>
      <c r="B57" s="26" t="n"/>
      <c r="C57" s="26" t="n"/>
      <c r="D57" s="26" t="n"/>
      <c r="E57" s="27" t="n"/>
      <c r="F57" s="26" t="n"/>
      <c r="G57" s="26" t="n"/>
      <c r="H57" s="26" t="n"/>
      <c r="I57" s="27" t="n"/>
      <c r="J57" s="26" t="n"/>
      <c r="K57" s="28" t="n"/>
      <c r="L57" s="29">
        <f>IF(K57="","",TODAY()-K57)</f>
        <v/>
      </c>
      <c r="M57" s="26" t="n"/>
      <c r="N57" s="26" t="n"/>
      <c r="O57" s="26" t="n"/>
      <c r="P57" s="26" t="n"/>
      <c r="Q57" s="27" t="n"/>
    </row>
    <row r="58">
      <c r="A58" s="25" t="n">
        <v>52</v>
      </c>
      <c r="B58" s="26" t="n"/>
      <c r="C58" s="26" t="n"/>
      <c r="D58" s="26" t="n"/>
      <c r="E58" s="27" t="n"/>
      <c r="F58" s="26" t="n"/>
      <c r="G58" s="26" t="n"/>
      <c r="H58" s="26" t="n"/>
      <c r="I58" s="27" t="n"/>
      <c r="J58" s="26" t="n"/>
      <c r="K58" s="28" t="n"/>
      <c r="L58" s="29">
        <f>IF(K58="","",TODAY()-K58)</f>
        <v/>
      </c>
      <c r="M58" s="26" t="n"/>
      <c r="N58" s="26" t="n"/>
      <c r="O58" s="26" t="n"/>
      <c r="P58" s="26" t="n"/>
      <c r="Q58" s="27" t="n"/>
    </row>
    <row r="59">
      <c r="A59" s="25" t="n">
        <v>53</v>
      </c>
      <c r="B59" s="26" t="n"/>
      <c r="C59" s="26" t="n"/>
      <c r="D59" s="26" t="n"/>
      <c r="E59" s="27" t="n"/>
      <c r="F59" s="26" t="n"/>
      <c r="G59" s="26" t="n"/>
      <c r="H59" s="26" t="n"/>
      <c r="I59" s="27" t="n"/>
      <c r="J59" s="26" t="n"/>
      <c r="K59" s="28" t="n"/>
      <c r="L59" s="29">
        <f>IF(K59="","",TODAY()-K59)</f>
        <v/>
      </c>
      <c r="M59" s="26" t="n"/>
      <c r="N59" s="26" t="n"/>
      <c r="O59" s="26" t="n"/>
      <c r="P59" s="26" t="n"/>
      <c r="Q59" s="27" t="n"/>
    </row>
    <row r="60">
      <c r="A60" s="25" t="n">
        <v>54</v>
      </c>
      <c r="B60" s="26" t="n"/>
      <c r="C60" s="26" t="n"/>
      <c r="D60" s="26" t="n"/>
      <c r="E60" s="27" t="n"/>
      <c r="F60" s="26" t="n"/>
      <c r="G60" s="26" t="n"/>
      <c r="H60" s="26" t="n"/>
      <c r="I60" s="27" t="n"/>
      <c r="J60" s="26" t="n"/>
      <c r="K60" s="28" t="n"/>
      <c r="L60" s="29">
        <f>IF(K60="","",TODAY()-K60)</f>
        <v/>
      </c>
      <c r="M60" s="26" t="n"/>
      <c r="N60" s="26" t="n"/>
      <c r="O60" s="26" t="n"/>
      <c r="P60" s="26" t="n"/>
      <c r="Q60" s="27" t="n"/>
    </row>
    <row r="61">
      <c r="A61" s="25" t="n">
        <v>55</v>
      </c>
      <c r="B61" s="26" t="n"/>
      <c r="C61" s="26" t="n"/>
      <c r="D61" s="26" t="n"/>
      <c r="E61" s="27" t="n"/>
      <c r="F61" s="26" t="n"/>
      <c r="G61" s="26" t="n"/>
      <c r="H61" s="26" t="n"/>
      <c r="I61" s="27" t="n"/>
      <c r="J61" s="26" t="n"/>
      <c r="K61" s="28" t="n"/>
      <c r="L61" s="29">
        <f>IF(K61="","",TODAY()-K61)</f>
        <v/>
      </c>
      <c r="M61" s="26" t="n"/>
      <c r="N61" s="26" t="n"/>
      <c r="O61" s="26" t="n"/>
      <c r="P61" s="26" t="n"/>
      <c r="Q61" s="27" t="n"/>
    </row>
    <row r="62">
      <c r="A62" s="25" t="n">
        <v>56</v>
      </c>
      <c r="B62" s="26" t="n"/>
      <c r="C62" s="26" t="n"/>
      <c r="D62" s="26" t="n"/>
      <c r="E62" s="27" t="n"/>
      <c r="F62" s="26" t="n"/>
      <c r="G62" s="26" t="n"/>
      <c r="H62" s="26" t="n"/>
      <c r="I62" s="27" t="n"/>
      <c r="J62" s="26" t="n"/>
      <c r="K62" s="28" t="n"/>
      <c r="L62" s="29">
        <f>IF(K62="","",TODAY()-K62)</f>
        <v/>
      </c>
      <c r="M62" s="26" t="n"/>
      <c r="N62" s="26" t="n"/>
      <c r="O62" s="26" t="n"/>
      <c r="P62" s="26" t="n"/>
      <c r="Q62" s="27" t="n"/>
    </row>
    <row r="63">
      <c r="A63" s="25" t="n">
        <v>57</v>
      </c>
      <c r="B63" s="26" t="n"/>
      <c r="C63" s="26" t="n"/>
      <c r="D63" s="26" t="n"/>
      <c r="E63" s="27" t="n"/>
      <c r="F63" s="26" t="n"/>
      <c r="G63" s="26" t="n"/>
      <c r="H63" s="26" t="n"/>
      <c r="I63" s="27" t="n"/>
      <c r="J63" s="26" t="n"/>
      <c r="K63" s="28" t="n"/>
      <c r="L63" s="29">
        <f>IF(K63="","",TODAY()-K63)</f>
        <v/>
      </c>
      <c r="M63" s="26" t="n"/>
      <c r="N63" s="26" t="n"/>
      <c r="O63" s="26" t="n"/>
      <c r="P63" s="26" t="n"/>
      <c r="Q63" s="27" t="n"/>
    </row>
    <row r="64">
      <c r="A64" s="25" t="n">
        <v>58</v>
      </c>
      <c r="B64" s="26" t="n"/>
      <c r="C64" s="26" t="n"/>
      <c r="D64" s="26" t="n"/>
      <c r="E64" s="27" t="n"/>
      <c r="F64" s="26" t="n"/>
      <c r="G64" s="26" t="n"/>
      <c r="H64" s="26" t="n"/>
      <c r="I64" s="27" t="n"/>
      <c r="J64" s="26" t="n"/>
      <c r="K64" s="28" t="n"/>
      <c r="L64" s="29">
        <f>IF(K64="","",TODAY()-K64)</f>
        <v/>
      </c>
      <c r="M64" s="26" t="n"/>
      <c r="N64" s="26" t="n"/>
      <c r="O64" s="26" t="n"/>
      <c r="P64" s="26" t="n"/>
      <c r="Q64" s="27" t="n"/>
    </row>
    <row r="65">
      <c r="A65" s="25" t="n">
        <v>59</v>
      </c>
      <c r="B65" s="26" t="n"/>
      <c r="C65" s="26" t="n"/>
      <c r="D65" s="26" t="n"/>
      <c r="E65" s="27" t="n"/>
      <c r="F65" s="26" t="n"/>
      <c r="G65" s="26" t="n"/>
      <c r="H65" s="26" t="n"/>
      <c r="I65" s="27" t="n"/>
      <c r="J65" s="26" t="n"/>
      <c r="K65" s="28" t="n"/>
      <c r="L65" s="29">
        <f>IF(K65="","",TODAY()-K65)</f>
        <v/>
      </c>
      <c r="M65" s="26" t="n"/>
      <c r="N65" s="26" t="n"/>
      <c r="O65" s="26" t="n"/>
      <c r="P65" s="26" t="n"/>
      <c r="Q65" s="27" t="n"/>
    </row>
    <row r="66">
      <c r="A66" s="25" t="n">
        <v>60</v>
      </c>
      <c r="B66" s="26" t="n"/>
      <c r="C66" s="26" t="n"/>
      <c r="D66" s="26" t="n"/>
      <c r="E66" s="27" t="n"/>
      <c r="F66" s="26" t="n"/>
      <c r="G66" s="26" t="n"/>
      <c r="H66" s="26" t="n"/>
      <c r="I66" s="27" t="n"/>
      <c r="J66" s="26" t="n"/>
      <c r="K66" s="28" t="n"/>
      <c r="L66" s="29">
        <f>IF(K66="","",TODAY()-K66)</f>
        <v/>
      </c>
      <c r="M66" s="26" t="n"/>
      <c r="N66" s="26" t="n"/>
      <c r="O66" s="26" t="n"/>
      <c r="P66" s="26" t="n"/>
      <c r="Q66" s="27" t="n"/>
    </row>
    <row r="67">
      <c r="A67" s="25" t="n">
        <v>61</v>
      </c>
      <c r="B67" s="26" t="n"/>
      <c r="C67" s="26" t="n"/>
      <c r="D67" s="26" t="n"/>
      <c r="E67" s="27" t="n"/>
      <c r="F67" s="26" t="n"/>
      <c r="G67" s="26" t="n"/>
      <c r="H67" s="26" t="n"/>
      <c r="I67" s="27" t="n"/>
      <c r="J67" s="26" t="n"/>
      <c r="K67" s="28" t="n"/>
      <c r="L67" s="29">
        <f>IF(K67="","",TODAY()-K67)</f>
        <v/>
      </c>
      <c r="M67" s="26" t="n"/>
      <c r="N67" s="26" t="n"/>
      <c r="O67" s="26" t="n"/>
      <c r="P67" s="26" t="n"/>
      <c r="Q67" s="27" t="n"/>
    </row>
    <row r="68">
      <c r="A68" s="25" t="n">
        <v>62</v>
      </c>
      <c r="B68" s="26" t="n"/>
      <c r="C68" s="26" t="n"/>
      <c r="D68" s="26" t="n"/>
      <c r="E68" s="27" t="n"/>
      <c r="F68" s="26" t="n"/>
      <c r="G68" s="26" t="n"/>
      <c r="H68" s="26" t="n"/>
      <c r="I68" s="27" t="n"/>
      <c r="J68" s="26" t="n"/>
      <c r="K68" s="28" t="n"/>
      <c r="L68" s="29">
        <f>IF(K68="","",TODAY()-K68)</f>
        <v/>
      </c>
      <c r="M68" s="26" t="n"/>
      <c r="N68" s="26" t="n"/>
      <c r="O68" s="26" t="n"/>
      <c r="P68" s="26" t="n"/>
      <c r="Q68" s="27" t="n"/>
    </row>
    <row r="69">
      <c r="A69" s="25" t="n">
        <v>63</v>
      </c>
      <c r="B69" s="26" t="n"/>
      <c r="C69" s="26" t="n"/>
      <c r="D69" s="26" t="n"/>
      <c r="E69" s="27" t="n"/>
      <c r="F69" s="26" t="n"/>
      <c r="G69" s="26" t="n"/>
      <c r="H69" s="26" t="n"/>
      <c r="I69" s="27" t="n"/>
      <c r="J69" s="26" t="n"/>
      <c r="K69" s="28" t="n"/>
      <c r="L69" s="29">
        <f>IF(K69="","",TODAY()-K69)</f>
        <v/>
      </c>
      <c r="M69" s="26" t="n"/>
      <c r="N69" s="26" t="n"/>
      <c r="O69" s="26" t="n"/>
      <c r="P69" s="26" t="n"/>
      <c r="Q69" s="27" t="n"/>
    </row>
    <row r="70">
      <c r="A70" s="25" t="n">
        <v>64</v>
      </c>
      <c r="B70" s="26" t="n"/>
      <c r="C70" s="26" t="n"/>
      <c r="D70" s="26" t="n"/>
      <c r="E70" s="27" t="n"/>
      <c r="F70" s="26" t="n"/>
      <c r="G70" s="26" t="n"/>
      <c r="H70" s="26" t="n"/>
      <c r="I70" s="27" t="n"/>
      <c r="J70" s="26" t="n"/>
      <c r="K70" s="28" t="n"/>
      <c r="L70" s="29">
        <f>IF(K70="","",TODAY()-K70)</f>
        <v/>
      </c>
      <c r="M70" s="26" t="n"/>
      <c r="N70" s="26" t="n"/>
      <c r="O70" s="26" t="n"/>
      <c r="P70" s="26" t="n"/>
      <c r="Q70" s="27" t="n"/>
    </row>
    <row r="71">
      <c r="A71" s="25" t="n">
        <v>65</v>
      </c>
      <c r="B71" s="26" t="n"/>
      <c r="C71" s="26" t="n"/>
      <c r="D71" s="26" t="n"/>
      <c r="E71" s="27" t="n"/>
      <c r="F71" s="26" t="n"/>
      <c r="G71" s="26" t="n"/>
      <c r="H71" s="26" t="n"/>
      <c r="I71" s="27" t="n"/>
      <c r="J71" s="26" t="n"/>
      <c r="K71" s="28" t="n"/>
      <c r="L71" s="29">
        <f>IF(K71="","",TODAY()-K71)</f>
        <v/>
      </c>
      <c r="M71" s="26" t="n"/>
      <c r="N71" s="26" t="n"/>
      <c r="O71" s="26" t="n"/>
      <c r="P71" s="26" t="n"/>
      <c r="Q71" s="27" t="n"/>
    </row>
    <row r="72">
      <c r="A72" s="25" t="n">
        <v>66</v>
      </c>
      <c r="B72" s="26" t="n"/>
      <c r="C72" s="26" t="n"/>
      <c r="D72" s="26" t="n"/>
      <c r="E72" s="27" t="n"/>
      <c r="F72" s="26" t="n"/>
      <c r="G72" s="26" t="n"/>
      <c r="H72" s="26" t="n"/>
      <c r="I72" s="27" t="n"/>
      <c r="J72" s="26" t="n"/>
      <c r="K72" s="28" t="n"/>
      <c r="L72" s="29">
        <f>IF(K72="","",TODAY()-K72)</f>
        <v/>
      </c>
      <c r="M72" s="26" t="n"/>
      <c r="N72" s="26" t="n"/>
      <c r="O72" s="26" t="n"/>
      <c r="P72" s="26" t="n"/>
      <c r="Q72" s="27" t="n"/>
    </row>
    <row r="73">
      <c r="A73" s="25" t="n">
        <v>67</v>
      </c>
      <c r="B73" s="26" t="n"/>
      <c r="C73" s="26" t="n"/>
      <c r="D73" s="26" t="n"/>
      <c r="E73" s="27" t="n"/>
      <c r="F73" s="26" t="n"/>
      <c r="G73" s="26" t="n"/>
      <c r="H73" s="26" t="n"/>
      <c r="I73" s="27" t="n"/>
      <c r="J73" s="26" t="n"/>
      <c r="K73" s="28" t="n"/>
      <c r="L73" s="29">
        <f>IF(K73="","",TODAY()-K73)</f>
        <v/>
      </c>
      <c r="M73" s="26" t="n"/>
      <c r="N73" s="26" t="n"/>
      <c r="O73" s="26" t="n"/>
      <c r="P73" s="26" t="n"/>
      <c r="Q73" s="27" t="n"/>
    </row>
    <row r="74">
      <c r="A74" s="25" t="n">
        <v>68</v>
      </c>
      <c r="B74" s="26" t="n"/>
      <c r="C74" s="26" t="n"/>
      <c r="D74" s="26" t="n"/>
      <c r="E74" s="27" t="n"/>
      <c r="F74" s="26" t="n"/>
      <c r="G74" s="26" t="n"/>
      <c r="H74" s="26" t="n"/>
      <c r="I74" s="27" t="n"/>
      <c r="J74" s="26" t="n"/>
      <c r="K74" s="28" t="n"/>
      <c r="L74" s="29">
        <f>IF(K74="","",TODAY()-K74)</f>
        <v/>
      </c>
      <c r="M74" s="26" t="n"/>
      <c r="N74" s="26" t="n"/>
      <c r="O74" s="26" t="n"/>
      <c r="P74" s="26" t="n"/>
      <c r="Q74" s="27" t="n"/>
    </row>
    <row r="75">
      <c r="A75" s="25" t="n">
        <v>69</v>
      </c>
      <c r="B75" s="26" t="n"/>
      <c r="C75" s="26" t="n"/>
      <c r="D75" s="26" t="n"/>
      <c r="E75" s="27" t="n"/>
      <c r="F75" s="26" t="n"/>
      <c r="G75" s="26" t="n"/>
      <c r="H75" s="26" t="n"/>
      <c r="I75" s="27" t="n"/>
      <c r="J75" s="26" t="n"/>
      <c r="K75" s="28" t="n"/>
      <c r="L75" s="29">
        <f>IF(K75="","",TODAY()-K75)</f>
        <v/>
      </c>
      <c r="M75" s="26" t="n"/>
      <c r="N75" s="26" t="n"/>
      <c r="O75" s="26" t="n"/>
      <c r="P75" s="26" t="n"/>
      <c r="Q75" s="27" t="n"/>
    </row>
    <row r="76">
      <c r="A76" s="25" t="n">
        <v>70</v>
      </c>
      <c r="B76" s="26" t="n"/>
      <c r="C76" s="26" t="n"/>
      <c r="D76" s="26" t="n"/>
      <c r="E76" s="27" t="n"/>
      <c r="F76" s="26" t="n"/>
      <c r="G76" s="26" t="n"/>
      <c r="H76" s="26" t="n"/>
      <c r="I76" s="27" t="n"/>
      <c r="J76" s="26" t="n"/>
      <c r="K76" s="28" t="n"/>
      <c r="L76" s="29">
        <f>IF(K76="","",TODAY()-K76)</f>
        <v/>
      </c>
      <c r="M76" s="26" t="n"/>
      <c r="N76" s="26" t="n"/>
      <c r="O76" s="26" t="n"/>
      <c r="P76" s="26" t="n"/>
      <c r="Q76" s="27" t="n"/>
    </row>
    <row r="77">
      <c r="A77" s="25" t="n">
        <v>71</v>
      </c>
      <c r="B77" s="26" t="n"/>
      <c r="C77" s="26" t="n"/>
      <c r="D77" s="26" t="n"/>
      <c r="E77" s="27" t="n"/>
      <c r="F77" s="26" t="n"/>
      <c r="G77" s="26" t="n"/>
      <c r="H77" s="26" t="n"/>
      <c r="I77" s="27" t="n"/>
      <c r="J77" s="26" t="n"/>
      <c r="K77" s="28" t="n"/>
      <c r="L77" s="29">
        <f>IF(K77="","",TODAY()-K77)</f>
        <v/>
      </c>
      <c r="M77" s="26" t="n"/>
      <c r="N77" s="26" t="n"/>
      <c r="O77" s="26" t="n"/>
      <c r="P77" s="26" t="n"/>
      <c r="Q77" s="27" t="n"/>
    </row>
    <row r="78">
      <c r="A78" s="25" t="n">
        <v>72</v>
      </c>
      <c r="B78" s="26" t="n"/>
      <c r="C78" s="26" t="n"/>
      <c r="D78" s="26" t="n"/>
      <c r="E78" s="27" t="n"/>
      <c r="F78" s="26" t="n"/>
      <c r="G78" s="26" t="n"/>
      <c r="H78" s="26" t="n"/>
      <c r="I78" s="27" t="n"/>
      <c r="J78" s="26" t="n"/>
      <c r="K78" s="28" t="n"/>
      <c r="L78" s="29">
        <f>IF(K78="","",TODAY()-K78)</f>
        <v/>
      </c>
      <c r="M78" s="26" t="n"/>
      <c r="N78" s="26" t="n"/>
      <c r="O78" s="26" t="n"/>
      <c r="P78" s="26" t="n"/>
      <c r="Q78" s="27" t="n"/>
    </row>
    <row r="79">
      <c r="A79" s="25" t="n">
        <v>73</v>
      </c>
      <c r="B79" s="26" t="n"/>
      <c r="C79" s="26" t="n"/>
      <c r="D79" s="26" t="n"/>
      <c r="E79" s="27" t="n"/>
      <c r="F79" s="26" t="n"/>
      <c r="G79" s="26" t="n"/>
      <c r="H79" s="26" t="n"/>
      <c r="I79" s="27" t="n"/>
      <c r="J79" s="26" t="n"/>
      <c r="K79" s="28" t="n"/>
      <c r="L79" s="29">
        <f>IF(K79="","",TODAY()-K79)</f>
        <v/>
      </c>
      <c r="M79" s="26" t="n"/>
      <c r="N79" s="26" t="n"/>
      <c r="O79" s="26" t="n"/>
      <c r="P79" s="26" t="n"/>
      <c r="Q79" s="27" t="n"/>
    </row>
    <row r="80">
      <c r="A80" s="25" t="n">
        <v>74</v>
      </c>
      <c r="B80" s="26" t="n"/>
      <c r="C80" s="26" t="n"/>
      <c r="D80" s="26" t="n"/>
      <c r="E80" s="27" t="n"/>
      <c r="F80" s="26" t="n"/>
      <c r="G80" s="26" t="n"/>
      <c r="H80" s="26" t="n"/>
      <c r="I80" s="27" t="n"/>
      <c r="J80" s="26" t="n"/>
      <c r="K80" s="28" t="n"/>
      <c r="L80" s="29">
        <f>IF(K80="","",TODAY()-K80)</f>
        <v/>
      </c>
      <c r="M80" s="26" t="n"/>
      <c r="N80" s="26" t="n"/>
      <c r="O80" s="26" t="n"/>
      <c r="P80" s="26" t="n"/>
      <c r="Q80" s="27" t="n"/>
    </row>
    <row r="81">
      <c r="A81" s="25" t="n">
        <v>75</v>
      </c>
      <c r="B81" s="26" t="n"/>
      <c r="C81" s="26" t="n"/>
      <c r="D81" s="26" t="n"/>
      <c r="E81" s="27" t="n"/>
      <c r="F81" s="26" t="n"/>
      <c r="G81" s="26" t="n"/>
      <c r="H81" s="26" t="n"/>
      <c r="I81" s="27" t="n"/>
      <c r="J81" s="26" t="n"/>
      <c r="K81" s="28" t="n"/>
      <c r="L81" s="29">
        <f>IF(K81="","",TODAY()-K81)</f>
        <v/>
      </c>
      <c r="M81" s="26" t="n"/>
      <c r="N81" s="26" t="n"/>
      <c r="O81" s="26" t="n"/>
      <c r="P81" s="26" t="n"/>
      <c r="Q81" s="27" t="n"/>
    </row>
    <row r="82">
      <c r="A82" s="25" t="n">
        <v>76</v>
      </c>
      <c r="B82" s="26" t="n"/>
      <c r="C82" s="26" t="n"/>
      <c r="D82" s="26" t="n"/>
      <c r="E82" s="27" t="n"/>
      <c r="F82" s="26" t="n"/>
      <c r="G82" s="26" t="n"/>
      <c r="H82" s="26" t="n"/>
      <c r="I82" s="27" t="n"/>
      <c r="J82" s="26" t="n"/>
      <c r="K82" s="28" t="n"/>
      <c r="L82" s="29">
        <f>IF(K82="","",TODAY()-K82)</f>
        <v/>
      </c>
      <c r="M82" s="26" t="n"/>
      <c r="N82" s="26" t="n"/>
      <c r="O82" s="26" t="n"/>
      <c r="P82" s="26" t="n"/>
      <c r="Q82" s="27" t="n"/>
    </row>
    <row r="83">
      <c r="A83" s="25" t="n">
        <v>77</v>
      </c>
      <c r="B83" s="26" t="n"/>
      <c r="C83" s="26" t="n"/>
      <c r="D83" s="26" t="n"/>
      <c r="E83" s="27" t="n"/>
      <c r="F83" s="26" t="n"/>
      <c r="G83" s="26" t="n"/>
      <c r="H83" s="26" t="n"/>
      <c r="I83" s="27" t="n"/>
      <c r="J83" s="26" t="n"/>
      <c r="K83" s="28" t="n"/>
      <c r="L83" s="29">
        <f>IF(K83="","",TODAY()-K83)</f>
        <v/>
      </c>
      <c r="M83" s="26" t="n"/>
      <c r="N83" s="26" t="n"/>
      <c r="O83" s="26" t="n"/>
      <c r="P83" s="26" t="n"/>
      <c r="Q83" s="27" t="n"/>
    </row>
    <row r="84">
      <c r="A84" s="25" t="n">
        <v>78</v>
      </c>
      <c r="B84" s="26" t="n"/>
      <c r="C84" s="26" t="n"/>
      <c r="D84" s="26" t="n"/>
      <c r="E84" s="27" t="n"/>
      <c r="F84" s="26" t="n"/>
      <c r="G84" s="26" t="n"/>
      <c r="H84" s="26" t="n"/>
      <c r="I84" s="27" t="n"/>
      <c r="J84" s="26" t="n"/>
      <c r="K84" s="28" t="n"/>
      <c r="L84" s="29">
        <f>IF(K84="","",TODAY()-K84)</f>
        <v/>
      </c>
      <c r="M84" s="26" t="n"/>
      <c r="N84" s="26" t="n"/>
      <c r="O84" s="26" t="n"/>
      <c r="P84" s="26" t="n"/>
      <c r="Q84" s="27" t="n"/>
    </row>
    <row r="85">
      <c r="A85" s="25" t="n">
        <v>79</v>
      </c>
      <c r="B85" s="26" t="n"/>
      <c r="C85" s="26" t="n"/>
      <c r="D85" s="26" t="n"/>
      <c r="E85" s="27" t="n"/>
      <c r="F85" s="26" t="n"/>
      <c r="G85" s="26" t="n"/>
      <c r="H85" s="26" t="n"/>
      <c r="I85" s="27" t="n"/>
      <c r="J85" s="26" t="n"/>
      <c r="K85" s="28" t="n"/>
      <c r="L85" s="29">
        <f>IF(K85="","",TODAY()-K85)</f>
        <v/>
      </c>
      <c r="M85" s="26" t="n"/>
      <c r="N85" s="26" t="n"/>
      <c r="O85" s="26" t="n"/>
      <c r="P85" s="26" t="n"/>
      <c r="Q85" s="27" t="n"/>
    </row>
    <row r="86">
      <c r="A86" s="25" t="n">
        <v>80</v>
      </c>
      <c r="B86" s="26" t="n"/>
      <c r="C86" s="26" t="n"/>
      <c r="D86" s="26" t="n"/>
      <c r="E86" s="27" t="n"/>
      <c r="F86" s="26" t="n"/>
      <c r="G86" s="26" t="n"/>
      <c r="H86" s="26" t="n"/>
      <c r="I86" s="27" t="n"/>
      <c r="J86" s="26" t="n"/>
      <c r="K86" s="28" t="n"/>
      <c r="L86" s="29">
        <f>IF(K86="","",TODAY()-K86)</f>
        <v/>
      </c>
      <c r="M86" s="26" t="n"/>
      <c r="N86" s="26" t="n"/>
      <c r="O86" s="26" t="n"/>
      <c r="P86" s="26" t="n"/>
      <c r="Q86" s="27" t="n"/>
    </row>
    <row r="87">
      <c r="A87" s="25" t="n">
        <v>81</v>
      </c>
      <c r="B87" s="26" t="n"/>
      <c r="C87" s="26" t="n"/>
      <c r="D87" s="26" t="n"/>
      <c r="E87" s="27" t="n"/>
      <c r="F87" s="26" t="n"/>
      <c r="G87" s="26" t="n"/>
      <c r="H87" s="26" t="n"/>
      <c r="I87" s="27" t="n"/>
      <c r="J87" s="26" t="n"/>
      <c r="K87" s="28" t="n"/>
      <c r="L87" s="29">
        <f>IF(K87="","",TODAY()-K87)</f>
        <v/>
      </c>
      <c r="M87" s="26" t="n"/>
      <c r="N87" s="26" t="n"/>
      <c r="O87" s="26" t="n"/>
      <c r="P87" s="26" t="n"/>
      <c r="Q87" s="27" t="n"/>
    </row>
    <row r="88">
      <c r="A88" s="25" t="n">
        <v>82</v>
      </c>
      <c r="B88" s="26" t="n"/>
      <c r="C88" s="26" t="n"/>
      <c r="D88" s="26" t="n"/>
      <c r="E88" s="27" t="n"/>
      <c r="F88" s="26" t="n"/>
      <c r="G88" s="26" t="n"/>
      <c r="H88" s="26" t="n"/>
      <c r="I88" s="27" t="n"/>
      <c r="J88" s="26" t="n"/>
      <c r="K88" s="28" t="n"/>
      <c r="L88" s="29">
        <f>IF(K88="","",TODAY()-K88)</f>
        <v/>
      </c>
      <c r="M88" s="26" t="n"/>
      <c r="N88" s="26" t="n"/>
      <c r="O88" s="26" t="n"/>
      <c r="P88" s="26" t="n"/>
      <c r="Q88" s="27" t="n"/>
    </row>
    <row r="89">
      <c r="A89" s="25" t="n">
        <v>83</v>
      </c>
      <c r="B89" s="26" t="n"/>
      <c r="C89" s="26" t="n"/>
      <c r="D89" s="26" t="n"/>
      <c r="E89" s="27" t="n"/>
      <c r="F89" s="26" t="n"/>
      <c r="G89" s="26" t="n"/>
      <c r="H89" s="26" t="n"/>
      <c r="I89" s="27" t="n"/>
      <c r="J89" s="26" t="n"/>
      <c r="K89" s="28" t="n"/>
      <c r="L89" s="29">
        <f>IF(K89="","",TODAY()-K89)</f>
        <v/>
      </c>
      <c r="M89" s="26" t="n"/>
      <c r="N89" s="26" t="n"/>
      <c r="O89" s="26" t="n"/>
      <c r="P89" s="26" t="n"/>
      <c r="Q89" s="27" t="n"/>
    </row>
    <row r="90">
      <c r="A90" s="25" t="n">
        <v>84</v>
      </c>
      <c r="B90" s="26" t="n"/>
      <c r="C90" s="26" t="n"/>
      <c r="D90" s="26" t="n"/>
      <c r="E90" s="27" t="n"/>
      <c r="F90" s="26" t="n"/>
      <c r="G90" s="26" t="n"/>
      <c r="H90" s="26" t="n"/>
      <c r="I90" s="27" t="n"/>
      <c r="J90" s="26" t="n"/>
      <c r="K90" s="28" t="n"/>
      <c r="L90" s="29">
        <f>IF(K90="","",TODAY()-K90)</f>
        <v/>
      </c>
      <c r="M90" s="26" t="n"/>
      <c r="N90" s="26" t="n"/>
      <c r="O90" s="26" t="n"/>
      <c r="P90" s="26" t="n"/>
      <c r="Q90" s="27" t="n"/>
    </row>
    <row r="91">
      <c r="A91" s="25" t="n">
        <v>85</v>
      </c>
      <c r="B91" s="26" t="n"/>
      <c r="C91" s="26" t="n"/>
      <c r="D91" s="26" t="n"/>
      <c r="E91" s="27" t="n"/>
      <c r="F91" s="26" t="n"/>
      <c r="G91" s="26" t="n"/>
      <c r="H91" s="26" t="n"/>
      <c r="I91" s="27" t="n"/>
      <c r="J91" s="26" t="n"/>
      <c r="K91" s="28" t="n"/>
      <c r="L91" s="29">
        <f>IF(K91="","",TODAY()-K91)</f>
        <v/>
      </c>
      <c r="M91" s="26" t="n"/>
      <c r="N91" s="26" t="n"/>
      <c r="O91" s="26" t="n"/>
      <c r="P91" s="26" t="n"/>
      <c r="Q91" s="27" t="n"/>
    </row>
    <row r="92">
      <c r="A92" s="25" t="n">
        <v>86</v>
      </c>
      <c r="B92" s="26" t="n"/>
      <c r="C92" s="26" t="n"/>
      <c r="D92" s="26" t="n"/>
      <c r="E92" s="27" t="n"/>
      <c r="F92" s="26" t="n"/>
      <c r="G92" s="26" t="n"/>
      <c r="H92" s="26" t="n"/>
      <c r="I92" s="27" t="n"/>
      <c r="J92" s="26" t="n"/>
      <c r="K92" s="28" t="n"/>
      <c r="L92" s="29">
        <f>IF(K92="","",TODAY()-K92)</f>
        <v/>
      </c>
      <c r="M92" s="26" t="n"/>
      <c r="N92" s="26" t="n"/>
      <c r="O92" s="26" t="n"/>
      <c r="P92" s="26" t="n"/>
      <c r="Q92" s="27" t="n"/>
    </row>
    <row r="93">
      <c r="A93" s="25" t="n">
        <v>87</v>
      </c>
      <c r="B93" s="26" t="n"/>
      <c r="C93" s="26" t="n"/>
      <c r="D93" s="26" t="n"/>
      <c r="E93" s="27" t="n"/>
      <c r="F93" s="26" t="n"/>
      <c r="G93" s="26" t="n"/>
      <c r="H93" s="26" t="n"/>
      <c r="I93" s="27" t="n"/>
      <c r="J93" s="26" t="n"/>
      <c r="K93" s="28" t="n"/>
      <c r="L93" s="29">
        <f>IF(K93="","",TODAY()-K93)</f>
        <v/>
      </c>
      <c r="M93" s="26" t="n"/>
      <c r="N93" s="26" t="n"/>
      <c r="O93" s="26" t="n"/>
      <c r="P93" s="26" t="n"/>
      <c r="Q93" s="27" t="n"/>
    </row>
    <row r="94">
      <c r="A94" s="25" t="n">
        <v>88</v>
      </c>
      <c r="B94" s="26" t="n"/>
      <c r="C94" s="26" t="n"/>
      <c r="D94" s="26" t="n"/>
      <c r="E94" s="27" t="n"/>
      <c r="F94" s="26" t="n"/>
      <c r="G94" s="26" t="n"/>
      <c r="H94" s="26" t="n"/>
      <c r="I94" s="27" t="n"/>
      <c r="J94" s="26" t="n"/>
      <c r="K94" s="28" t="n"/>
      <c r="L94" s="29">
        <f>IF(K94="","",TODAY()-K94)</f>
        <v/>
      </c>
      <c r="M94" s="26" t="n"/>
      <c r="N94" s="26" t="n"/>
      <c r="O94" s="26" t="n"/>
      <c r="P94" s="26" t="n"/>
      <c r="Q94" s="27" t="n"/>
    </row>
    <row r="95">
      <c r="A95" s="25" t="n">
        <v>89</v>
      </c>
      <c r="B95" s="26" t="n"/>
      <c r="C95" s="26" t="n"/>
      <c r="D95" s="26" t="n"/>
      <c r="E95" s="27" t="n"/>
      <c r="F95" s="26" t="n"/>
      <c r="G95" s="26" t="n"/>
      <c r="H95" s="26" t="n"/>
      <c r="I95" s="27" t="n"/>
      <c r="J95" s="26" t="n"/>
      <c r="K95" s="28" t="n"/>
      <c r="L95" s="29">
        <f>IF(K95="","",TODAY()-K95)</f>
        <v/>
      </c>
      <c r="M95" s="26" t="n"/>
      <c r="N95" s="26" t="n"/>
      <c r="O95" s="26" t="n"/>
      <c r="P95" s="26" t="n"/>
      <c r="Q95" s="27" t="n"/>
    </row>
    <row r="96">
      <c r="A96" s="25" t="n">
        <v>90</v>
      </c>
      <c r="B96" s="26" t="n"/>
      <c r="C96" s="26" t="n"/>
      <c r="D96" s="26" t="n"/>
      <c r="E96" s="27" t="n"/>
      <c r="F96" s="26" t="n"/>
      <c r="G96" s="26" t="n"/>
      <c r="H96" s="26" t="n"/>
      <c r="I96" s="27" t="n"/>
      <c r="J96" s="26" t="n"/>
      <c r="K96" s="28" t="n"/>
      <c r="L96" s="29">
        <f>IF(K96="","",TODAY()-K96)</f>
        <v/>
      </c>
      <c r="M96" s="26" t="n"/>
      <c r="N96" s="26" t="n"/>
      <c r="O96" s="26" t="n"/>
      <c r="P96" s="26" t="n"/>
      <c r="Q96" s="27" t="n"/>
    </row>
    <row r="97">
      <c r="A97" s="25" t="n">
        <v>91</v>
      </c>
      <c r="B97" s="26" t="n"/>
      <c r="C97" s="26" t="n"/>
      <c r="D97" s="26" t="n"/>
      <c r="E97" s="27" t="n"/>
      <c r="F97" s="26" t="n"/>
      <c r="G97" s="26" t="n"/>
      <c r="H97" s="26" t="n"/>
      <c r="I97" s="27" t="n"/>
      <c r="J97" s="26" t="n"/>
      <c r="K97" s="28" t="n"/>
      <c r="L97" s="29">
        <f>IF(K97="","",TODAY()-K97)</f>
        <v/>
      </c>
      <c r="M97" s="26" t="n"/>
      <c r="N97" s="26" t="n"/>
      <c r="O97" s="26" t="n"/>
      <c r="P97" s="26" t="n"/>
      <c r="Q97" s="27" t="n"/>
    </row>
    <row r="98">
      <c r="A98" s="25" t="n">
        <v>92</v>
      </c>
      <c r="B98" s="26" t="n"/>
      <c r="C98" s="26" t="n"/>
      <c r="D98" s="26" t="n"/>
      <c r="E98" s="27" t="n"/>
      <c r="F98" s="26" t="n"/>
      <c r="G98" s="26" t="n"/>
      <c r="H98" s="26" t="n"/>
      <c r="I98" s="27" t="n"/>
      <c r="J98" s="26" t="n"/>
      <c r="K98" s="28" t="n"/>
      <c r="L98" s="29">
        <f>IF(K98="","",TODAY()-K98)</f>
        <v/>
      </c>
      <c r="M98" s="26" t="n"/>
      <c r="N98" s="26" t="n"/>
      <c r="O98" s="26" t="n"/>
      <c r="P98" s="26" t="n"/>
      <c r="Q98" s="27" t="n"/>
    </row>
    <row r="99">
      <c r="A99" s="25" t="n">
        <v>93</v>
      </c>
      <c r="B99" s="26" t="n"/>
      <c r="C99" s="26" t="n"/>
      <c r="D99" s="26" t="n"/>
      <c r="E99" s="27" t="n"/>
      <c r="F99" s="26" t="n"/>
      <c r="G99" s="26" t="n"/>
      <c r="H99" s="26" t="n"/>
      <c r="I99" s="27" t="n"/>
      <c r="J99" s="26" t="n"/>
      <c r="K99" s="28" t="n"/>
      <c r="L99" s="29">
        <f>IF(K99="","",TODAY()-K99)</f>
        <v/>
      </c>
      <c r="M99" s="26" t="n"/>
      <c r="N99" s="26" t="n"/>
      <c r="O99" s="26" t="n"/>
      <c r="P99" s="26" t="n"/>
      <c r="Q99" s="27" t="n"/>
    </row>
    <row r="100">
      <c r="A100" s="25" t="n">
        <v>94</v>
      </c>
      <c r="B100" s="26" t="n"/>
      <c r="C100" s="26" t="n"/>
      <c r="D100" s="26" t="n"/>
      <c r="E100" s="27" t="n"/>
      <c r="F100" s="26" t="n"/>
      <c r="G100" s="26" t="n"/>
      <c r="H100" s="26" t="n"/>
      <c r="I100" s="27" t="n"/>
      <c r="J100" s="26" t="n"/>
      <c r="K100" s="28" t="n"/>
      <c r="L100" s="29">
        <f>IF(K100="","",TODAY()-K100)</f>
        <v/>
      </c>
      <c r="M100" s="26" t="n"/>
      <c r="N100" s="26" t="n"/>
      <c r="O100" s="26" t="n"/>
      <c r="P100" s="26" t="n"/>
      <c r="Q100" s="27" t="n"/>
    </row>
    <row r="101">
      <c r="A101" s="25" t="n">
        <v>95</v>
      </c>
      <c r="B101" s="26" t="n"/>
      <c r="C101" s="26" t="n"/>
      <c r="D101" s="26" t="n"/>
      <c r="E101" s="27" t="n"/>
      <c r="F101" s="26" t="n"/>
      <c r="G101" s="26" t="n"/>
      <c r="H101" s="26" t="n"/>
      <c r="I101" s="27" t="n"/>
      <c r="J101" s="26" t="n"/>
      <c r="K101" s="28" t="n"/>
      <c r="L101" s="29">
        <f>IF(K101="","",TODAY()-K101)</f>
        <v/>
      </c>
      <c r="M101" s="26" t="n"/>
      <c r="N101" s="26" t="n"/>
      <c r="O101" s="26" t="n"/>
      <c r="P101" s="26" t="n"/>
      <c r="Q101" s="27" t="n"/>
    </row>
    <row r="102">
      <c r="A102" s="25" t="n">
        <v>96</v>
      </c>
      <c r="B102" s="26" t="n"/>
      <c r="C102" s="26" t="n"/>
      <c r="D102" s="26" t="n"/>
      <c r="E102" s="27" t="n"/>
      <c r="F102" s="26" t="n"/>
      <c r="G102" s="26" t="n"/>
      <c r="H102" s="26" t="n"/>
      <c r="I102" s="27" t="n"/>
      <c r="J102" s="26" t="n"/>
      <c r="K102" s="28" t="n"/>
      <c r="L102" s="29">
        <f>IF(K102="","",TODAY()-K102)</f>
        <v/>
      </c>
      <c r="M102" s="26" t="n"/>
      <c r="N102" s="26" t="n"/>
      <c r="O102" s="26" t="n"/>
      <c r="P102" s="26" t="n"/>
      <c r="Q102" s="27" t="n"/>
    </row>
    <row r="103">
      <c r="A103" s="25" t="n">
        <v>97</v>
      </c>
      <c r="B103" s="26" t="n"/>
      <c r="C103" s="26" t="n"/>
      <c r="D103" s="26" t="n"/>
      <c r="E103" s="27" t="n"/>
      <c r="F103" s="26" t="n"/>
      <c r="G103" s="26" t="n"/>
      <c r="H103" s="26" t="n"/>
      <c r="I103" s="27" t="n"/>
      <c r="J103" s="26" t="n"/>
      <c r="K103" s="28" t="n"/>
      <c r="L103" s="29">
        <f>IF(K103="","",TODAY()-K103)</f>
        <v/>
      </c>
      <c r="M103" s="26" t="n"/>
      <c r="N103" s="26" t="n"/>
      <c r="O103" s="26" t="n"/>
      <c r="P103" s="26" t="n"/>
      <c r="Q103" s="27" t="n"/>
    </row>
    <row r="104">
      <c r="A104" s="25" t="n">
        <v>98</v>
      </c>
      <c r="B104" s="26" t="n"/>
      <c r="C104" s="26" t="n"/>
      <c r="D104" s="26" t="n"/>
      <c r="E104" s="27" t="n"/>
      <c r="F104" s="26" t="n"/>
      <c r="G104" s="26" t="n"/>
      <c r="H104" s="26" t="n"/>
      <c r="I104" s="27" t="n"/>
      <c r="J104" s="26" t="n"/>
      <c r="K104" s="28" t="n"/>
      <c r="L104" s="29">
        <f>IF(K104="","",TODAY()-K104)</f>
        <v/>
      </c>
      <c r="M104" s="26" t="n"/>
      <c r="N104" s="26" t="n"/>
      <c r="O104" s="26" t="n"/>
      <c r="P104" s="26" t="n"/>
      <c r="Q104" s="27" t="n"/>
    </row>
    <row r="105">
      <c r="A105" s="25" t="n">
        <v>99</v>
      </c>
      <c r="B105" s="26" t="n"/>
      <c r="C105" s="26" t="n"/>
      <c r="D105" s="26" t="n"/>
      <c r="E105" s="27" t="n"/>
      <c r="F105" s="26" t="n"/>
      <c r="G105" s="26" t="n"/>
      <c r="H105" s="26" t="n"/>
      <c r="I105" s="27" t="n"/>
      <c r="J105" s="26" t="n"/>
      <c r="K105" s="28" t="n"/>
      <c r="L105" s="29">
        <f>IF(K105="","",TODAY()-K105)</f>
        <v/>
      </c>
      <c r="M105" s="26" t="n"/>
      <c r="N105" s="26" t="n"/>
      <c r="O105" s="26" t="n"/>
      <c r="P105" s="26" t="n"/>
      <c r="Q105" s="27" t="n"/>
    </row>
    <row r="106">
      <c r="A106" s="25" t="n">
        <v>100</v>
      </c>
      <c r="B106" s="26" t="n"/>
      <c r="C106" s="26" t="n"/>
      <c r="D106" s="26" t="n"/>
      <c r="E106" s="27" t="n"/>
      <c r="F106" s="26" t="n"/>
      <c r="G106" s="26" t="n"/>
      <c r="H106" s="26" t="n"/>
      <c r="I106" s="27" t="n"/>
      <c r="J106" s="26" t="n"/>
      <c r="K106" s="28" t="n"/>
      <c r="L106" s="29">
        <f>IF(K106="","",TODAY()-K106)</f>
        <v/>
      </c>
      <c r="M106" s="26" t="n"/>
      <c r="N106" s="26" t="n"/>
      <c r="O106" s="26" t="n"/>
      <c r="P106" s="26" t="n"/>
      <c r="Q106" s="27" t="n"/>
    </row>
  </sheetData>
  <dataValidations count="1">
    <dataValidation sqref="M6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M104 M105 M106 N6 N7 N8 N9 N10 N11 N12 N13 N14 N15 N16 N17 N18 N19 N20 N21 N22 N23 N24 N25 N26 N27 N28 N29 N30 N31 N32 N33 N34 N35 N36 N37 N38 N39 N40 N41 N42 N43 N44 N45 N46 N47 N48 N49 N50 N51 N52 N53 N54 N55 N56 N57 N58 N59 N60 N61 N62 N63 N64 N65 N66 N67 N68 N69 N70 N71 N72 N73 N74 N75 N76 N77 N78 N79 N80 N81 N82 N83 N84 N85 N86 N87 N88 N89 N90 N91 N92 N93 N94 N95 N96 N97 N98 N99 N100 N101 N102 N103 N104 N105 N106 O6 O7 O8 O9 O10 O11 O12 O13 O14 O15 O16 O17 O18 O19 O20 O21 O22 O23 O24 O25 O26 O27 O28 O29 O30 O31 O32 O33 O34 O35 O36 O37 O38 O39 O40 O41 O42 O43 O44 O45 O46 O47 O48 O49 O50 O51 O52 O53 O54 O55 O56 O57 O58 O59 O60 O61 O62 O63 O64 O65 O66 O67 O68 O69 O70 O71 O72 O73 O74 O75 O76 O77 O78 O79 O80 O81 O82 O83 O84 O85 O86 O87 O88 O89 O90 O91 O92 O93 O94 O95 O96 O97 O98 O99 O100 O101 O102 O103 O104 O105 O106" showDropDown="0" showInputMessage="0" showErrorMessage="0" allowBlank="1" type="list">
      <formula1>"Yes,No,—"</formula1>
    </dataValidation>
  </dataValidations>
  <hyperlinks>
    <hyperlink xmlns:r="http://schemas.openxmlformats.org/officeDocument/2006/relationships" ref="F6" r:id="rId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4"/>
  <sheetViews>
    <sheetView showGridLines="0" workbookViewId="0">
      <selection activeCell="A1" sqref="A1"/>
    </sheetView>
  </sheetViews>
  <sheetFormatPr baseColWidth="8" defaultRowHeight="15"/>
  <cols>
    <col width="90" customWidth="1" min="1" max="1"/>
  </cols>
  <sheetData>
    <row r="1">
      <c r="A1" s="3" t="inlineStr">
        <is>
          <t>EMAIL TEMPLATES — Cold Outreach</t>
        </is>
      </c>
    </row>
    <row r="2">
      <c r="A2" s="2" t="inlineStr"/>
    </row>
    <row r="3">
      <c r="A3" s="3" t="inlineStr">
        <is>
          <t>VERSION A — Recruiters / Talent Acquisition</t>
        </is>
      </c>
    </row>
    <row r="4">
      <c r="A4" s="2" t="inlineStr">
        <is>
          <t>Short, direct ask. Use when contacting TA or recruiters.</t>
        </is>
      </c>
    </row>
    <row r="5" ht="208" customHeight="1">
      <c r="A5" s="30" t="inlineStr">
        <is>
          <t>Subject: Full-stack engineer — quick question about {{Company}}
Hi {{First Name}},
{{Hook}}
I'm a full-stack developer (3–6 yrs) with MERN experience, currently exploring roles in Bangalore, Hyderabad, Pune, and remote India — especially fintech and SaaS.
Would you be open to a 15-minute chat if there's alignment on your open web engineering roles?
Best,
[Your Name]
[Phone] · [LinkedIn]</t>
        </is>
      </c>
    </row>
    <row r="6">
      <c r="A6" s="2" t="inlineStr"/>
    </row>
    <row r="7">
      <c r="A7" s="3" t="inlineStr">
        <is>
          <t>VERSION B — Engineering Managers (advice framing)</t>
        </is>
      </c>
    </row>
    <row r="8">
      <c r="A8" s="2" t="inlineStr">
        <is>
          <t>Ask for advice, not a job — often gets higher reply rates from EM/IC leads.</t>
        </is>
      </c>
    </row>
    <row r="9" ht="208" customHeight="1">
      <c r="A9" s="30" t="inlineStr">
        <is>
          <t>Subject: Advice on breaking into engineering at {{Company}}?
Hi {{First Name}},
{{Hook}}
I'm a full-stack developer with ~4 years on MERN and product web apps. I'm not asking for a referral yet — I'd genuinely value 10 minutes of your perspective on what strong mid-level engineers look like on your team and how you'd suggest approaching {{Company}}.
If you're open to it, I can share my background briefly and keep it short.
Thanks for considering,
[Your Name]
[LinkedIn]</t>
        </is>
      </c>
    </row>
    <row r="10">
      <c r="A10" s="2" t="inlineStr"/>
    </row>
    <row r="11">
      <c r="A11" s="3" t="inlineStr">
        <is>
          <t>WHY VERSION B WORKS</t>
        </is>
      </c>
    </row>
    <row r="12">
      <c r="A12" s="2" t="inlineStr">
        <is>
          <t>• Lower pressure: people help with advice more readily than 'give me a job'.</t>
        </is>
      </c>
    </row>
    <row r="13">
      <c r="A13" s="2" t="inlineStr">
        <is>
          <t>• Starts a conversation that can naturally lead to intros or open roles.</t>
        </is>
      </c>
    </row>
    <row r="14">
      <c r="A14" s="2" t="inlineStr">
        <is>
          <t>• Shows respect for their time and signals genuine interest in their team.</t>
        </is>
      </c>
    </row>
    <row r="15">
      <c r="A15" s="2" t="inlineStr"/>
    </row>
    <row r="16">
      <c r="A16" s="3" t="inlineStr">
        <is>
          <t>EXAMPLE HOOKS (replace {{Hook}})</t>
        </is>
      </c>
    </row>
    <row r="17">
      <c r="A17" s="2" t="inlineStr">
        <is>
          <t>1. Razorpay: 'Razorpay's merchant onboarding flow is a benchmark for Indian fintech UX — that's the product bar I want to build toward.'</t>
        </is>
      </c>
    </row>
    <row r="18">
      <c r="A18" s="2" t="inlineStr">
        <is>
          <t>2. Yellow.ai: 'Yellow.ai's conversational AI stack sits at the intersection of product web and ML — exactly where I want to deepen my craft.'</t>
        </is>
      </c>
    </row>
    <row r="19">
      <c r="A19" s="2" t="inlineStr">
        <is>
          <t>3. Freshworks: 'Freshworks scaling SaaS from Chennai to global markets is the kind of product engineering story I want to be part of.'</t>
        </is>
      </c>
    </row>
    <row r="20">
      <c r="A20" s="2" t="inlineStr">
        <is>
          <t>4. Juspay: 'Juspay powering checkout for India's largest apps is the scale and fintech depth I'm targeting in my next role.'</t>
        </is>
      </c>
    </row>
    <row r="21">
      <c r="A21" s="2" t="inlineStr">
        <is>
          <t>5. GitLab: 'GitLab's all-remote engineering culture and DevOps platform align with how I already work — async, docs-first, web-heavy.'</t>
        </is>
      </c>
    </row>
    <row r="22">
      <c r="A22" s="2" t="inlineStr"/>
    </row>
    <row r="23">
      <c r="A23" s="3" t="inlineStr">
        <is>
          <t>FOLLOW-UP (send 5 days after Version A or B if no reply)</t>
        </is>
      </c>
    </row>
    <row r="24" ht="160" customHeight="1">
      <c r="A24" s="30" t="inlineStr">
        <is>
          <t>Subject: Re: quick follow-up
Hi {{First Name}},
Just bumping my note from last week — totally understand if you're swamped.
Still interested in learning whether there might be fit for a full-stack engineer on your team. Happy to keep this to a short call or async reply.
Best,
[Your Name]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2026-05-24T06:42:34Z</dcterms:created>
  <dcterms:modified xsi:type="dcterms:W3CDTF">2026-05-24T06:42:34Z</dcterms:modified>
</cp:coreProperties>
</file>